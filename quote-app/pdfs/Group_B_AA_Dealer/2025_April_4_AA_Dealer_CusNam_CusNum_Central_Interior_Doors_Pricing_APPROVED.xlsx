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eldweninc1-my.sharepoint.com/personal/russellm_jeld-wen_com/Documents/Desktop/PLM/Price Increase April 4 2025/Interior Doors/WW Apr 4/WW Price Templates/"/>
    </mc:Choice>
  </mc:AlternateContent>
  <xr:revisionPtr revIDLastSave="1" documentId="8_{4B5E5D29-A3F6-40E5-A6B2-43B9BB4321D4}" xr6:coauthVersionLast="47" xr6:coauthVersionMax="47" xr10:uidLastSave="{0ABBE582-ACCE-452C-B662-E1F71B619DF3}"/>
  <bookViews>
    <workbookView xWindow="38290" yWindow="-110" windowWidth="38620" windowHeight="21100" tabRatio="862" xr2:uid="{00000000-000D-0000-FFFF-FFFF00000000}"/>
  </bookViews>
  <sheets>
    <sheet name="Confidential" sheetId="31" r:id="rId1"/>
    <sheet name="Molded" sheetId="16" r:id="rId2"/>
    <sheet name="Molded 2" sheetId="17" r:id="rId3"/>
    <sheet name="Flat Panel" sheetId="19" r:id="rId4"/>
    <sheet name="Adders" sheetId="32" r:id="rId5"/>
    <sheet name="Molded Styles" sheetId="33" r:id="rId6"/>
    <sheet name="Doors Availability" sheetId="34" r:id="rId7"/>
    <sheet name="Bifold Availability" sheetId="35" r:id="rId8"/>
  </sheets>
  <definedNames>
    <definedName name="_xlnm.Print_Area" localSheetId="4">Adders!$A$1:$F$48</definedName>
    <definedName name="_xlnm.Print_Area" localSheetId="3">'Flat Panel'!$A$1:$H$64</definedName>
    <definedName name="_xlnm.Print_Area" localSheetId="1">Molded!$A$1:$F$68</definedName>
    <definedName name="_xlnm.Print_Area" localSheetId="2">'Molded 2'!$A$1:$E$68</definedName>
    <definedName name="_xlnm.Print_Area" localSheetId="5">'Molded Styles'!$A$1:$G$31</definedName>
  </definedNames>
  <calcPr calcId="191029"/>
  <customWorkbookViews>
    <customWorkbookView name="Gilles Bouchard - Affichage personnalisé" guid="{ADFF38FB-A8CF-4BF8-9D44-FE8AA1208480}" mergeInterval="0" personalView="1" maximized="1" windowWidth="1276" windowHeight="733" tabRatio="602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1" i="19" l="1"/>
  <c r="B65" i="17"/>
  <c r="N52" i="31"/>
  <c r="N51" i="31"/>
  <c r="B52" i="31"/>
  <c r="B51" i="31"/>
  <c r="L41" i="31"/>
  <c r="L40" i="31"/>
  <c r="B63" i="19" l="1"/>
  <c r="B67" i="17"/>
  <c r="B62" i="19" l="1"/>
  <c r="B66" i="17"/>
  <c r="A35" i="19" l="1"/>
  <c r="A34" i="19"/>
  <c r="J26" i="31"/>
  <c r="H26" i="31"/>
  <c r="J25" i="31"/>
  <c r="H25" i="31"/>
  <c r="A38" i="17"/>
  <c r="A37" i="17"/>
  <c r="C38" i="16" l="1"/>
  <c r="E38" i="16" s="1"/>
  <c r="C37" i="16"/>
  <c r="D38" i="16" l="1"/>
  <c r="E37" i="16"/>
  <c r="G34" i="19"/>
  <c r="D37" i="17"/>
  <c r="F34" i="19"/>
  <c r="C34" i="19"/>
  <c r="E34" i="19"/>
  <c r="D34" i="19"/>
  <c r="E37" i="17"/>
  <c r="C37" i="17"/>
  <c r="G35" i="19"/>
  <c r="C35" i="19"/>
  <c r="C38" i="17"/>
  <c r="F35" i="19"/>
  <c r="E35" i="19"/>
  <c r="E38" i="17"/>
  <c r="D35" i="19"/>
  <c r="D38" i="17"/>
  <c r="D37" i="16"/>
  <c r="A6" i="32" l="1"/>
  <c r="A7" i="32"/>
  <c r="A5" i="32"/>
  <c r="E36" i="16" l="1"/>
  <c r="E35" i="16"/>
  <c r="C36" i="16"/>
  <c r="C35" i="16"/>
  <c r="D35" i="17" l="1"/>
  <c r="E35" i="17"/>
  <c r="C35" i="17"/>
  <c r="D36" i="17"/>
  <c r="E36" i="17"/>
  <c r="C36" i="17"/>
  <c r="D35" i="16"/>
  <c r="B56" i="19"/>
  <c r="B57" i="19"/>
  <c r="B55" i="19"/>
  <c r="B47" i="19"/>
  <c r="B46" i="19"/>
  <c r="B37" i="19"/>
  <c r="B30" i="19"/>
  <c r="B31" i="19"/>
  <c r="B32" i="19"/>
  <c r="B33" i="19"/>
  <c r="B29" i="19"/>
  <c r="B50" i="17"/>
  <c r="B49" i="17"/>
  <c r="B60" i="17"/>
  <c r="B61" i="17"/>
  <c r="B59" i="17"/>
  <c r="B40" i="17"/>
  <c r="B31" i="17"/>
  <c r="B32" i="17"/>
  <c r="B33" i="17"/>
  <c r="B34" i="17"/>
  <c r="B35" i="17"/>
  <c r="B36" i="17"/>
  <c r="B30" i="17"/>
  <c r="B63" i="16" l="1"/>
  <c r="C47" i="19"/>
  <c r="F47" i="19" s="1"/>
  <c r="E59" i="16"/>
  <c r="E60" i="16"/>
  <c r="C59" i="16"/>
  <c r="C60" i="16"/>
  <c r="E31" i="16" l="1"/>
  <c r="E32" i="16"/>
  <c r="E33" i="16"/>
  <c r="E34" i="16"/>
  <c r="E30" i="16"/>
  <c r="C31" i="16"/>
  <c r="C32" i="16"/>
  <c r="C33" i="16"/>
  <c r="C34" i="16"/>
  <c r="C30" i="16"/>
  <c r="J52" i="31" l="1"/>
  <c r="D56" i="19" s="1"/>
  <c r="J51" i="31"/>
  <c r="D55" i="19" s="1"/>
  <c r="H52" i="31"/>
  <c r="C56" i="19" s="1"/>
  <c r="H51" i="31"/>
  <c r="C55" i="19" s="1"/>
  <c r="J19" i="31"/>
  <c r="D30" i="19" s="1"/>
  <c r="J20" i="31"/>
  <c r="D31" i="19" s="1"/>
  <c r="J21" i="31"/>
  <c r="D32" i="19" s="1"/>
  <c r="J22" i="31"/>
  <c r="D33" i="19" s="1"/>
  <c r="J18" i="31"/>
  <c r="D29" i="19" s="1"/>
  <c r="H19" i="31"/>
  <c r="C30" i="19" s="1"/>
  <c r="H20" i="31"/>
  <c r="C31" i="19" s="1"/>
  <c r="H21" i="31"/>
  <c r="C32" i="19" s="1"/>
  <c r="H22" i="31"/>
  <c r="C33" i="19" s="1"/>
  <c r="H18" i="31"/>
  <c r="C29" i="19" s="1"/>
  <c r="F41" i="31"/>
  <c r="E50" i="16" s="1"/>
  <c r="F40" i="31"/>
  <c r="E49" i="16" s="1"/>
  <c r="L31" i="31"/>
  <c r="L32" i="31"/>
  <c r="L33" i="31"/>
  <c r="E41" i="16" s="1"/>
  <c r="L34" i="31"/>
  <c r="E42" i="16" s="1"/>
  <c r="L35" i="31"/>
  <c r="E43" i="16" s="1"/>
  <c r="L36" i="31"/>
  <c r="E44" i="16" s="1"/>
  <c r="L37" i="31"/>
  <c r="E46" i="16" s="1"/>
  <c r="L38" i="31"/>
  <c r="E47" i="16" s="1"/>
  <c r="L39" i="31"/>
  <c r="E48" i="16" s="1"/>
  <c r="L30" i="31"/>
  <c r="F31" i="31"/>
  <c r="F32" i="31"/>
  <c r="F33" i="31"/>
  <c r="C41" i="16" s="1"/>
  <c r="F34" i="31"/>
  <c r="C42" i="16" s="1"/>
  <c r="F35" i="31"/>
  <c r="C43" i="16" s="1"/>
  <c r="F36" i="31"/>
  <c r="C44" i="16" s="1"/>
  <c r="F37" i="31"/>
  <c r="C46" i="16" s="1"/>
  <c r="F38" i="31"/>
  <c r="C47" i="16" s="1"/>
  <c r="F39" i="31"/>
  <c r="C48" i="16" s="1"/>
  <c r="F30" i="31"/>
  <c r="L5" i="31"/>
  <c r="E14" i="16" s="1"/>
  <c r="L6" i="31"/>
  <c r="E15" i="16" s="1"/>
  <c r="L7" i="31"/>
  <c r="E16" i="16" s="1"/>
  <c r="L8" i="31"/>
  <c r="E18" i="16" s="1"/>
  <c r="L9" i="31"/>
  <c r="E19" i="16" s="1"/>
  <c r="L10" i="31"/>
  <c r="E20" i="16" s="1"/>
  <c r="L11" i="31"/>
  <c r="L12" i="31"/>
  <c r="E23" i="16" s="1"/>
  <c r="L13" i="31"/>
  <c r="E24" i="16" s="1"/>
  <c r="L14" i="31"/>
  <c r="L15" i="31"/>
  <c r="L16" i="31"/>
  <c r="E28" i="16" s="1"/>
  <c r="L17" i="31"/>
  <c r="L4" i="31"/>
  <c r="E13" i="16" s="1"/>
  <c r="F5" i="31"/>
  <c r="F6" i="31"/>
  <c r="F7" i="31"/>
  <c r="F8" i="31"/>
  <c r="F9" i="31"/>
  <c r="F10" i="31"/>
  <c r="F11" i="31"/>
  <c r="F12" i="31"/>
  <c r="F13" i="31"/>
  <c r="F14" i="31"/>
  <c r="F15" i="31"/>
  <c r="F49" i="31" s="1"/>
  <c r="C57" i="16" s="1"/>
  <c r="F16" i="31"/>
  <c r="F17" i="31"/>
  <c r="C29" i="17" s="1"/>
  <c r="F4" i="31"/>
  <c r="H40" i="31" l="1"/>
  <c r="C46" i="19" s="1"/>
  <c r="E55" i="19"/>
  <c r="F55" i="19"/>
  <c r="F56" i="19"/>
  <c r="E56" i="19"/>
  <c r="E27" i="16"/>
  <c r="L49" i="31"/>
  <c r="E57" i="16" s="1"/>
  <c r="E22" i="16"/>
  <c r="L47" i="31"/>
  <c r="E55" i="16" s="1"/>
  <c r="E26" i="16"/>
  <c r="L48" i="31"/>
  <c r="E56" i="16" s="1"/>
  <c r="E29" i="16"/>
  <c r="L50" i="31"/>
  <c r="E58" i="16" s="1"/>
  <c r="E33" i="19"/>
  <c r="F33" i="19"/>
  <c r="G32" i="19"/>
  <c r="E32" i="19"/>
  <c r="F32" i="19"/>
  <c r="F31" i="19"/>
  <c r="E31" i="19"/>
  <c r="G31" i="19"/>
  <c r="J41" i="31"/>
  <c r="D47" i="19" s="1"/>
  <c r="E47" i="19" s="1"/>
  <c r="C50" i="16"/>
  <c r="F30" i="19"/>
  <c r="E30" i="19"/>
  <c r="J40" i="31"/>
  <c r="D46" i="19" s="1"/>
  <c r="C49" i="16"/>
  <c r="E29" i="19"/>
  <c r="F29" i="19"/>
  <c r="C28" i="16"/>
  <c r="C23" i="16"/>
  <c r="C18" i="16"/>
  <c r="C27" i="16"/>
  <c r="C22" i="16"/>
  <c r="C16" i="16"/>
  <c r="C13" i="16"/>
  <c r="C26" i="16"/>
  <c r="C20" i="16"/>
  <c r="C15" i="16"/>
  <c r="C24" i="16"/>
  <c r="C19" i="16"/>
  <c r="C14" i="16"/>
  <c r="L46" i="31"/>
  <c r="E54" i="16" s="1"/>
  <c r="L45" i="31"/>
  <c r="E53" i="16" s="1"/>
  <c r="E46" i="19" l="1"/>
  <c r="F46" i="19"/>
  <c r="J5" i="31"/>
  <c r="D14" i="19" s="1"/>
  <c r="J6" i="31"/>
  <c r="D15" i="19" s="1"/>
  <c r="J7" i="31"/>
  <c r="D16" i="19" s="1"/>
  <c r="J8" i="31"/>
  <c r="D18" i="19" s="1"/>
  <c r="J9" i="31"/>
  <c r="D19" i="19" s="1"/>
  <c r="J10" i="31"/>
  <c r="D20" i="19" s="1"/>
  <c r="J11" i="31"/>
  <c r="D22" i="19" s="1"/>
  <c r="J12" i="31"/>
  <c r="D23" i="19" s="1"/>
  <c r="J13" i="31"/>
  <c r="D24" i="19" s="1"/>
  <c r="J14" i="31"/>
  <c r="D26" i="19" s="1"/>
  <c r="J15" i="31"/>
  <c r="D27" i="19" s="1"/>
  <c r="J16" i="31"/>
  <c r="D28" i="19" s="1"/>
  <c r="J30" i="31"/>
  <c r="J31" i="31"/>
  <c r="J32" i="31"/>
  <c r="J33" i="31"/>
  <c r="D38" i="19" s="1"/>
  <c r="J34" i="31"/>
  <c r="D39" i="19" s="1"/>
  <c r="J35" i="31"/>
  <c r="D40" i="19" s="1"/>
  <c r="J36" i="31"/>
  <c r="D41" i="19" s="1"/>
  <c r="J37" i="31"/>
  <c r="D43" i="19" s="1"/>
  <c r="J38" i="31"/>
  <c r="D44" i="19" s="1"/>
  <c r="J39" i="31"/>
  <c r="D45" i="19" s="1"/>
  <c r="J4" i="31"/>
  <c r="D13" i="19" s="1"/>
  <c r="H31" i="31"/>
  <c r="H32" i="31"/>
  <c r="H33" i="31"/>
  <c r="C38" i="19" s="1"/>
  <c r="H34" i="31"/>
  <c r="C39" i="19" s="1"/>
  <c r="H35" i="31"/>
  <c r="C40" i="19" s="1"/>
  <c r="H36" i="31"/>
  <c r="C41" i="19" s="1"/>
  <c r="H37" i="31"/>
  <c r="C43" i="19" s="1"/>
  <c r="H38" i="31"/>
  <c r="C44" i="19" s="1"/>
  <c r="H39" i="31"/>
  <c r="C45" i="19" s="1"/>
  <c r="H30" i="31"/>
  <c r="H5" i="31"/>
  <c r="C14" i="19" s="1"/>
  <c r="H6" i="31"/>
  <c r="C15" i="19" s="1"/>
  <c r="H7" i="31"/>
  <c r="C16" i="19" s="1"/>
  <c r="H8" i="31"/>
  <c r="C18" i="19" s="1"/>
  <c r="H9" i="31"/>
  <c r="C19" i="19" s="1"/>
  <c r="H10" i="31"/>
  <c r="C20" i="19" s="1"/>
  <c r="H11" i="31"/>
  <c r="C22" i="19" s="1"/>
  <c r="H12" i="31"/>
  <c r="C23" i="19" s="1"/>
  <c r="H13" i="31"/>
  <c r="C24" i="19" s="1"/>
  <c r="H14" i="31"/>
  <c r="C26" i="19" s="1"/>
  <c r="H15" i="31"/>
  <c r="C27" i="19" s="1"/>
  <c r="H16" i="31"/>
  <c r="C28" i="19" s="1"/>
  <c r="H4" i="31"/>
  <c r="C13" i="19" s="1"/>
  <c r="F50" i="31"/>
  <c r="C58" i="17" s="1"/>
  <c r="F48" i="31"/>
  <c r="C56" i="16" s="1"/>
  <c r="F47" i="31"/>
  <c r="C55" i="16" s="1"/>
  <c r="F46" i="31"/>
  <c r="C54" i="16" s="1"/>
  <c r="F45" i="31"/>
  <c r="C53" i="16" s="1"/>
  <c r="J45" i="31" l="1"/>
  <c r="D50" i="19" s="1"/>
  <c r="G50" i="19" s="1"/>
  <c r="H49" i="31"/>
  <c r="C54" i="19" s="1"/>
  <c r="J47" i="31"/>
  <c r="D52" i="19" s="1"/>
  <c r="J48" i="31"/>
  <c r="D53" i="19" s="1"/>
  <c r="H46" i="31"/>
  <c r="C51" i="19" s="1"/>
  <c r="J46" i="31"/>
  <c r="D51" i="19" s="1"/>
  <c r="H48" i="31"/>
  <c r="C53" i="19" s="1"/>
  <c r="H45" i="31"/>
  <c r="C50" i="19" s="1"/>
  <c r="H47" i="31"/>
  <c r="C52" i="19" s="1"/>
  <c r="J49" i="31"/>
  <c r="D54" i="19" s="1"/>
  <c r="B51" i="19"/>
  <c r="B52" i="19"/>
  <c r="B53" i="19"/>
  <c r="B54" i="19"/>
  <c r="B50" i="19"/>
  <c r="E53" i="17"/>
  <c r="D53" i="17"/>
  <c r="C53" i="17"/>
  <c r="B54" i="17"/>
  <c r="B55" i="17"/>
  <c r="B56" i="17"/>
  <c r="B57" i="17"/>
  <c r="B53" i="17"/>
  <c r="D53" i="16"/>
  <c r="E50" i="19" l="1"/>
  <c r="F50" i="19"/>
  <c r="E50" i="17"/>
  <c r="E49" i="17"/>
  <c r="D50" i="17"/>
  <c r="D49" i="17"/>
  <c r="B49" i="19" l="1"/>
  <c r="B4" i="17" l="1"/>
  <c r="B4" i="19"/>
  <c r="B3" i="19"/>
  <c r="B52" i="17"/>
  <c r="B3" i="17"/>
  <c r="B59" i="19" l="1"/>
  <c r="B63" i="17"/>
  <c r="B2" i="19" l="1"/>
  <c r="B2" i="17"/>
  <c r="B60" i="19" l="1"/>
  <c r="B64" i="17"/>
  <c r="G39" i="19" l="1"/>
  <c r="G40" i="19"/>
  <c r="G43" i="19"/>
  <c r="G44" i="19"/>
  <c r="E32" i="17"/>
  <c r="E33" i="17"/>
  <c r="E34" i="17"/>
  <c r="D32" i="17"/>
  <c r="D33" i="17"/>
  <c r="D34" i="17"/>
  <c r="C31" i="17"/>
  <c r="C32" i="17"/>
  <c r="C33" i="17"/>
  <c r="C34" i="17"/>
  <c r="D32" i="16"/>
  <c r="E58" i="17" l="1"/>
  <c r="D58" i="17"/>
  <c r="E29" i="17"/>
  <c r="D29" i="17"/>
  <c r="C50" i="17" l="1"/>
  <c r="C59" i="17"/>
  <c r="C60" i="17" l="1"/>
  <c r="C49" i="17"/>
  <c r="C30" i="17" l="1"/>
  <c r="G51" i="19" l="1"/>
  <c r="G53" i="19"/>
  <c r="C27" i="17"/>
  <c r="C24" i="17"/>
  <c r="C19" i="17"/>
  <c r="C16" i="17"/>
  <c r="C14" i="17"/>
  <c r="C57" i="17"/>
  <c r="C43" i="17"/>
  <c r="C56" i="17"/>
  <c r="C46" i="17"/>
  <c r="C42" i="17"/>
  <c r="C28" i="17"/>
  <c r="C20" i="17"/>
  <c r="G54" i="19"/>
  <c r="G52" i="19"/>
  <c r="C47" i="17"/>
  <c r="C23" i="17" l="1"/>
  <c r="G18" i="19"/>
  <c r="C13" i="17"/>
  <c r="D13" i="17"/>
  <c r="C55" i="17"/>
  <c r="C44" i="17"/>
  <c r="G38" i="19"/>
  <c r="C26" i="17"/>
  <c r="C54" i="17"/>
  <c r="G20" i="19"/>
  <c r="C41" i="17"/>
  <c r="D41" i="17"/>
  <c r="G24" i="19"/>
  <c r="G26" i="19"/>
  <c r="G14" i="19"/>
  <c r="C48" i="17"/>
  <c r="G19" i="19"/>
  <c r="G41" i="19"/>
  <c r="C15" i="17"/>
  <c r="G45" i="19"/>
  <c r="G15" i="19"/>
  <c r="G23" i="19"/>
  <c r="G27" i="19"/>
  <c r="C22" i="17"/>
  <c r="G28" i="19"/>
  <c r="G22" i="19"/>
  <c r="C18" i="17"/>
  <c r="G16" i="19"/>
  <c r="G13" i="19"/>
  <c r="F52" i="19"/>
  <c r="F51" i="19"/>
  <c r="F44" i="19"/>
  <c r="F18" i="19"/>
  <c r="F20" i="19"/>
  <c r="F54" i="19"/>
  <c r="F40" i="19"/>
  <c r="F22" i="19"/>
  <c r="F14" i="19"/>
  <c r="F28" i="19"/>
  <c r="F45" i="19"/>
  <c r="F15" i="19"/>
  <c r="F39" i="19"/>
  <c r="F16" i="19"/>
  <c r="F27" i="19"/>
  <c r="F13" i="19"/>
  <c r="F53" i="19"/>
  <c r="F26" i="19"/>
  <c r="F38" i="19"/>
  <c r="F23" i="19"/>
  <c r="F43" i="19"/>
  <c r="F24" i="19"/>
  <c r="F41" i="19"/>
  <c r="F19" i="19"/>
  <c r="E52" i="19" l="1"/>
  <c r="E53" i="19"/>
  <c r="E54" i="19"/>
  <c r="E51" i="19"/>
  <c r="E39" i="19"/>
  <c r="E40" i="19"/>
  <c r="E41" i="19"/>
  <c r="E43" i="19"/>
  <c r="E44" i="19"/>
  <c r="E45" i="19"/>
  <c r="E38" i="19"/>
  <c r="E14" i="19"/>
  <c r="E15" i="19"/>
  <c r="E16" i="19"/>
  <c r="E18" i="19"/>
  <c r="E19" i="19"/>
  <c r="E20" i="19"/>
  <c r="E22" i="19"/>
  <c r="E23" i="19"/>
  <c r="E24" i="19"/>
  <c r="E26" i="19"/>
  <c r="E27" i="19"/>
  <c r="E28" i="19"/>
  <c r="E13" i="19"/>
  <c r="G46" i="19" l="1"/>
  <c r="G29" i="19"/>
  <c r="E60" i="17"/>
  <c r="E59" i="17"/>
  <c r="D60" i="17"/>
  <c r="D59" i="17"/>
  <c r="E31" i="17"/>
  <c r="E30" i="17"/>
  <c r="D31" i="17"/>
  <c r="D30" i="17"/>
  <c r="E55" i="17"/>
  <c r="E56" i="17"/>
  <c r="E57" i="17"/>
  <c r="E54" i="17"/>
  <c r="D55" i="17"/>
  <c r="D56" i="17"/>
  <c r="D57" i="17"/>
  <c r="D54" i="17"/>
  <c r="E42" i="17"/>
  <c r="E43" i="17"/>
  <c r="E44" i="17"/>
  <c r="E46" i="17"/>
  <c r="E47" i="17"/>
  <c r="E48" i="17"/>
  <c r="E41" i="17"/>
  <c r="D42" i="17"/>
  <c r="D43" i="17"/>
  <c r="D44" i="17"/>
  <c r="D46" i="17"/>
  <c r="D47" i="17"/>
  <c r="D48" i="17"/>
  <c r="E14" i="17"/>
  <c r="E15" i="17"/>
  <c r="E16" i="17"/>
  <c r="E18" i="17"/>
  <c r="E19" i="17"/>
  <c r="E20" i="17"/>
  <c r="E22" i="17"/>
  <c r="E23" i="17"/>
  <c r="E24" i="17"/>
  <c r="E26" i="17"/>
  <c r="E27" i="17"/>
  <c r="E28" i="17"/>
  <c r="E13" i="17"/>
  <c r="D14" i="17"/>
  <c r="D15" i="17"/>
  <c r="D16" i="17"/>
  <c r="D18" i="17"/>
  <c r="D19" i="17"/>
  <c r="D20" i="17"/>
  <c r="D22" i="17"/>
  <c r="D23" i="17"/>
  <c r="D24" i="17"/>
  <c r="D26" i="17"/>
  <c r="D27" i="17"/>
  <c r="D28" i="17"/>
  <c r="G55" i="19" l="1"/>
  <c r="D54" i="16"/>
  <c r="D57" i="16"/>
  <c r="D56" i="16"/>
  <c r="D55" i="16"/>
  <c r="D42" i="16"/>
  <c r="D43" i="16"/>
  <c r="D44" i="16"/>
  <c r="D46" i="16"/>
  <c r="D47" i="16"/>
  <c r="D48" i="16"/>
  <c r="D41" i="16"/>
  <c r="D14" i="16"/>
  <c r="D15" i="16"/>
  <c r="D16" i="16"/>
  <c r="D18" i="16"/>
  <c r="D19" i="16"/>
  <c r="D20" i="16"/>
  <c r="D22" i="16"/>
  <c r="D23" i="16"/>
  <c r="D24" i="16"/>
  <c r="D26" i="16"/>
  <c r="D27" i="16"/>
  <c r="D28" i="16"/>
  <c r="D13" i="16"/>
</calcChain>
</file>

<file path=xl/sharedStrings.xml><?xml version="1.0" encoding="utf-8"?>
<sst xmlns="http://schemas.openxmlformats.org/spreadsheetml/2006/main" count="953" uniqueCount="147">
  <si>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</si>
  <si>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</si>
  <si>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</si>
  <si>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</si>
  <si>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</si>
  <si>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</si>
  <si>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</si>
  <si>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</si>
  <si>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</si>
  <si>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</si>
  <si>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</si>
  <si>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34"</t>
  </si>
  <si>
    <t>36"</t>
  </si>
  <si>
    <t>CAMDEN</t>
  </si>
  <si>
    <t>ROCKPORT</t>
  </si>
  <si>
    <t>6/8, 7/0, 8/0</t>
  </si>
  <si>
    <t>6/8</t>
  </si>
  <si>
    <t>SANTA-FE</t>
  </si>
  <si>
    <t>CRAFTSMAN</t>
  </si>
  <si>
    <t>6/8 &amp; 7/0</t>
  </si>
  <si>
    <t>MADISON</t>
  </si>
  <si>
    <t>SANTA FE</t>
  </si>
  <si>
    <t>CONMORE</t>
  </si>
  <si>
    <t>COLONIST TEXT</t>
  </si>
  <si>
    <t>COLONIST TEX</t>
  </si>
  <si>
    <t>MONROE</t>
  </si>
  <si>
    <t>Conmore</t>
  </si>
  <si>
    <t>SLAB</t>
  </si>
  <si>
    <t>N/A</t>
  </si>
  <si>
    <t>CARRARA</t>
  </si>
  <si>
    <t>38"</t>
  </si>
  <si>
    <t>BIRKDALE</t>
  </si>
  <si>
    <t>**</t>
  </si>
  <si>
    <t>rockport 16x80 sous min requis backset 2.3/8</t>
  </si>
  <si>
    <t>craftsman 12x80 et 84, sous min requis backset 2.3/8</t>
  </si>
  <si>
    <t>cont 16 et 18 x 80 et 84 sous min requis backset 2.3/8</t>
  </si>
  <si>
    <t>revision bos 20x96, batt 5.1/8</t>
  </si>
  <si>
    <t>revision pann bos 20''x80 et 84'' = ok batt 4.1/16 , ok backset 2.3/8</t>
  </si>
  <si>
    <r>
      <t xml:space="preserve">note backset 2.3/8 = diam trou poignée 2.1/8 + 1/2 diam ( 1.1/16) = 3.7/16 + rosette finition 2.5/8 ou 3.7/16 + 1/4 = 3.11/16 + var shaper 1/8 = </t>
    </r>
    <r>
      <rPr>
        <b/>
        <sz val="10"/>
        <rFont val="Arial"/>
        <family val="2"/>
      </rPr>
      <t>3.13/16</t>
    </r>
  </si>
  <si>
    <t>ajout Conmore + Madison + note exécutive + détail du mini bkst 2.3/8</t>
  </si>
  <si>
    <t>MAJ liste prix 2014, ajout 96 = ath 12à20 inc, camb 12 a 16 inc, cont 12 a 16 inc, princ 12 a 20 inc, safe 12 a 16 inc. Miroir changé 2,3/8 seuelement pour la r`gle affichée</t>
  </si>
  <si>
    <t>enlevé arl bostonian, stanford, ajouté colonist tex col smth, coventry, monroe a venir</t>
  </si>
  <si>
    <t>ajout Monroe, enlevé atherton ( Kathya ) , enlevé avalon 84'' ( Kathya )</t>
  </si>
  <si>
    <t>Avalon 26- de cmi à skin JW ( batt de 5,3/16 à 3,3/16)</t>
  </si>
  <si>
    <t>ajout carrara 80 84 96'', contl 28 et 32x96 , de 4 a 5, ajout coventry 84 et 96</t>
  </si>
  <si>
    <t>ajot AVA 84'' x 18 à 36 incl, contl 16x84, rock 16x84''</t>
  </si>
  <si>
    <t>notes internes</t>
  </si>
  <si>
    <t xml:space="preserve">Disponible / Available </t>
  </si>
  <si>
    <t>x</t>
  </si>
  <si>
    <t>Non disponible / Not Available size</t>
  </si>
  <si>
    <t>X</t>
  </si>
  <si>
    <t>96''</t>
  </si>
  <si>
    <t>84''</t>
  </si>
  <si>
    <t>80''</t>
  </si>
  <si>
    <t>COLONIST      TEXT</t>
  </si>
  <si>
    <t>36''</t>
  </si>
  <si>
    <t>34''</t>
  </si>
  <si>
    <t>32''</t>
  </si>
  <si>
    <t>30''</t>
  </si>
  <si>
    <t>28''</t>
  </si>
  <si>
    <t>26''</t>
  </si>
  <si>
    <t>24''</t>
  </si>
  <si>
    <t>22''</t>
  </si>
  <si>
    <t>20''</t>
  </si>
  <si>
    <t>18''</t>
  </si>
  <si>
    <t>16''</t>
  </si>
  <si>
    <t>14''</t>
  </si>
  <si>
    <t>12''</t>
  </si>
  <si>
    <t>modèle / model</t>
  </si>
  <si>
    <t>79''</t>
  </si>
  <si>
    <t xml:space="preserve">Non disponible / Not Available </t>
  </si>
  <si>
    <t>38" Euro</t>
  </si>
  <si>
    <t>Moulded</t>
  </si>
  <si>
    <t>HC Slabs</t>
  </si>
  <si>
    <t>1-3/4 SC / 20 min (no label or mach)</t>
  </si>
  <si>
    <t>Flat Moulded</t>
  </si>
  <si>
    <t>Flush</t>
  </si>
  <si>
    <t>Adders</t>
  </si>
  <si>
    <t>Size</t>
  </si>
  <si>
    <t>Hard</t>
  </si>
  <si>
    <t>Adder</t>
  </si>
  <si>
    <t xml:space="preserve">Non standard: </t>
  </si>
  <si>
    <t>PRIMED HARDB</t>
  </si>
  <si>
    <t>HEIGHT 84" HC</t>
  </si>
  <si>
    <t>HEIGHT 96" HC</t>
  </si>
  <si>
    <t>1 3/8 SC 80''</t>
  </si>
  <si>
    <t>1 3/8 SC 84''</t>
  </si>
  <si>
    <t>1 3/8 SC 96''</t>
  </si>
  <si>
    <t>1 3/4 HC 80"</t>
  </si>
  <si>
    <t>1 3/4 HC 84"</t>
  </si>
  <si>
    <t>See availability table</t>
  </si>
  <si>
    <t>HEIGHT 84"</t>
  </si>
  <si>
    <t>HEIGHT 96"</t>
  </si>
  <si>
    <t>See other options: Adders page</t>
  </si>
  <si>
    <t>Price subject to change with 60 days notice.</t>
  </si>
  <si>
    <t>20" to 24"</t>
  </si>
  <si>
    <t>26" to 30"</t>
  </si>
  <si>
    <t>34" to  36"</t>
  </si>
  <si>
    <t>Slab</t>
  </si>
  <si>
    <t>Bifold</t>
  </si>
  <si>
    <t>Smooth</t>
  </si>
  <si>
    <t xml:space="preserve">HEIGHT 96" </t>
  </si>
  <si>
    <t>Bifolds (w hard.)</t>
  </si>
  <si>
    <t>HEIGHT 84" HC Add only</t>
  </si>
  <si>
    <t>HEIGHT 96" HC Add only</t>
  </si>
  <si>
    <t>1 3/8 SC 80'' Add only</t>
  </si>
  <si>
    <t>1 3/8 SC 84'' Add only</t>
  </si>
  <si>
    <t>1 3/8 SC 96'' Add only</t>
  </si>
  <si>
    <t>1 3/4 HC 80" Add only</t>
  </si>
  <si>
    <t>1 3/4 HC 84" Add only</t>
  </si>
  <si>
    <t>Bifolds (with hard.)</t>
  </si>
  <si>
    <t>Add for Easy-IN 4-9/16 MDF to HC/SC</t>
  </si>
  <si>
    <t>Add for Prehung 4-9/16 FJP to HC/SC</t>
  </si>
  <si>
    <t>,  20 or more = $0.00 (same size/design)</t>
  </si>
  <si>
    <t>Machining for 1 3/8": 3 Hinges and Lock</t>
  </si>
  <si>
    <t>Machining for 1 3/4": 3 Hinges and Lock</t>
  </si>
  <si>
    <t>20 Minute Fire Rated Slab Only (machining included)</t>
  </si>
  <si>
    <t>Machining - Dead Bolt</t>
  </si>
  <si>
    <t>Machining - Viewer</t>
  </si>
  <si>
    <t>Jamb Add-ons: add to Hollow Core or Solid Core Slabs</t>
  </si>
  <si>
    <t>4-9/16" MDF jamb for an Easy IN</t>
  </si>
  <si>
    <t>6-9/16" MDF jamb for an Easy IN</t>
  </si>
  <si>
    <t>4-9/16" FJP jamb for Easy IN</t>
  </si>
  <si>
    <t>6-9/16" FJP jamb for Easy IN</t>
  </si>
  <si>
    <t>4-9/16" FJP jamb Rabbeted Prehung</t>
  </si>
  <si>
    <t>6-9/16" FJP jamb Rabbeted Prehung</t>
  </si>
  <si>
    <t>Options</t>
  </si>
  <si>
    <t>Hinge Finish</t>
  </si>
  <si>
    <t>Ball Catch</t>
  </si>
  <si>
    <t>Flush Bolt</t>
  </si>
  <si>
    <t>BB Hinges</t>
  </si>
  <si>
    <t>Non-Standard Charge 
(20 of the same size/style or more=$0.00)</t>
  </si>
  <si>
    <t>Double Door = (EASY-IN x 2) + Flushbolt or Ball Catches</t>
  </si>
  <si>
    <t>BIFOLDS 
c/w  Hard.</t>
  </si>
  <si>
    <t>AA-Dealer Central</t>
  </si>
  <si>
    <t>45 Min Fire Rated Flush (includes prep for 3 hinges &amp; cyl lock)</t>
  </si>
  <si>
    <t>45 Min Fire Rated  Moulded (includes prep for 3 hinges &amp; cyl lock)</t>
  </si>
  <si>
    <t>60 - 90 Min  Fire Rated Flush (includes prep for 3 hinges &amp; cyl lock)</t>
  </si>
  <si>
    <t>**5% discount when ordering 300 units or more 
(must order full lift quantities and 1 lift must be the same sku/size/design)**</t>
  </si>
  <si>
    <t>1-3/4 SC</t>
  </si>
  <si>
    <t>4-9/16" FJ Primed for Prehung</t>
  </si>
  <si>
    <t>Willmar</t>
  </si>
  <si>
    <t xml:space="preserve"> Doors - sizes available</t>
  </si>
  <si>
    <t>Bifolds - sizes available</t>
  </si>
  <si>
    <t>NET PRICE LIST (April 4, 2025)</t>
  </si>
  <si>
    <t>Regional freight rates apply</t>
  </si>
  <si>
    <t>Customer Name &amp;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</si>
</sst>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-&quot;$&quot;#,##0.00"/>
    <numFmt numFmtId="165" formatCode="&quot;$&quot;#,##0.00;[Red]\-&quot;$&quot;#,##0.00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.00"/>
    <numFmt numFmtId="169" formatCode="#&quot; &quot;??/16"/>
  </numFmts>
  <fonts count="55">
    <font>
      <sz val="12"/>
      <name val="CG Omeg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CG Omega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Times New Roman"/>
      <family val="1"/>
    </font>
    <font>
      <sz val="10"/>
      <name val="CG Omega"/>
      <family val="2"/>
    </font>
    <font>
      <b/>
      <sz val="8"/>
      <name val="Times New Roman"/>
      <family val="1"/>
    </font>
    <font>
      <b/>
      <sz val="10"/>
      <name val="Arial Narrow"/>
      <family val="2"/>
    </font>
    <font>
      <sz val="9"/>
      <name val="Times New Roman"/>
      <family val="1"/>
    </font>
    <font>
      <b/>
      <sz val="11"/>
      <name val="Arial Narrow"/>
      <family val="2"/>
    </font>
    <font>
      <b/>
      <i/>
      <sz val="11"/>
      <name val="Arial Narrow"/>
      <family val="2"/>
    </font>
    <font>
      <b/>
      <sz val="14"/>
      <name val="Arial Narrow"/>
      <family val="2"/>
    </font>
    <font>
      <sz val="8"/>
      <color indexed="8"/>
      <name val="Tahoma"/>
      <family val="2"/>
    </font>
    <font>
      <sz val="7"/>
      <color indexed="8"/>
      <name val="Arial Narrow"/>
      <family val="2"/>
    </font>
    <font>
      <sz val="8"/>
      <color indexed="9"/>
      <name val="Arial"/>
      <family val="2"/>
    </font>
    <font>
      <sz val="7"/>
      <color indexed="9"/>
      <name val="Arial Narrow"/>
      <family val="2"/>
    </font>
    <font>
      <sz val="6"/>
      <color indexed="9"/>
      <name val="Arial Narrow"/>
      <family val="2"/>
    </font>
    <font>
      <sz val="5"/>
      <color indexed="9"/>
      <name val="Tahoma"/>
      <family val="2"/>
    </font>
    <font>
      <b/>
      <sz val="8"/>
      <color indexed="8"/>
      <name val="Tahoma"/>
      <family val="2"/>
    </font>
    <font>
      <b/>
      <sz val="12"/>
      <color indexed="10"/>
      <name val="Arial"/>
      <family val="2"/>
    </font>
    <font>
      <b/>
      <u/>
      <sz val="12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sz val="19"/>
      <name val="Arial"/>
      <family val="2"/>
    </font>
    <font>
      <b/>
      <sz val="15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20"/>
      <name val="Arial"/>
      <family val="2"/>
    </font>
    <font>
      <b/>
      <u val="double"/>
      <sz val="12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10"/>
      <name val="Calibri"/>
      <family val="2"/>
      <scheme val="minor"/>
    </font>
    <font>
      <sz val="12"/>
      <name val="CG Omega"/>
      <family val="2"/>
    </font>
    <font>
      <b/>
      <sz val="10"/>
      <name val="Calibri"/>
      <family val="2"/>
      <scheme val="minor"/>
    </font>
    <font>
      <sz val="11"/>
      <name val="Calibri"/>
      <family val="2"/>
    </font>
    <font>
      <b/>
      <sz val="35"/>
      <name val="Arial Black"/>
      <family val="2"/>
    </font>
    <font>
      <b/>
      <sz val="8"/>
      <name val="Arial"/>
      <family val="2"/>
    </font>
    <font>
      <sz val="12"/>
      <color theme="1"/>
      <name val="Arial"/>
      <family val="2"/>
    </font>
    <font>
      <sz val="10"/>
      <color rgb="FFFF0000"/>
      <name val="Calibri"/>
      <family val="2"/>
      <scheme val="minor"/>
    </font>
    <font>
      <b/>
      <i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gray0625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2" fontId="13" fillId="0" borderId="1">
      <alignment horizontal="center"/>
    </xf>
    <xf numFmtId="0" fontId="22" fillId="0" borderId="0" applyNumberFormat="0" applyFill="0" applyBorder="0" applyProtection="0">
      <alignment horizontal="left" vertical="center"/>
    </xf>
    <xf numFmtId="0" fontId="23" fillId="2" borderId="0" applyNumberFormat="0" applyProtection="0">
      <alignment horizontal="center" vertical="center"/>
    </xf>
    <xf numFmtId="0" fontId="14" fillId="0" borderId="2"/>
    <xf numFmtId="0" fontId="24" fillId="3" borderId="3" applyNumberFormat="0" applyProtection="0">
      <alignment horizontal="center" vertical="center" wrapText="1"/>
    </xf>
    <xf numFmtId="0" fontId="25" fillId="3" borderId="3" applyNumberFormat="0" applyProtection="0">
      <alignment horizontal="center" vertical="center" wrapText="1"/>
    </xf>
    <xf numFmtId="0" fontId="26" fillId="3" borderId="3" applyNumberFormat="0" applyProtection="0">
      <alignment horizontal="center" vertical="center" wrapText="1"/>
    </xf>
    <xf numFmtId="0" fontId="27" fillId="3" borderId="3" applyNumberFormat="0" applyProtection="0">
      <alignment horizontal="center" vertical="center" wrapText="1"/>
    </xf>
    <xf numFmtId="166" fontId="4" fillId="0" borderId="0" applyFont="0" applyFill="0" applyBorder="0" applyAlignment="0" applyProtection="0"/>
    <xf numFmtId="0" fontId="5" fillId="0" borderId="0"/>
    <xf numFmtId="168" fontId="15" fillId="0" borderId="0">
      <alignment horizontal="center"/>
    </xf>
    <xf numFmtId="0" fontId="16" fillId="0" borderId="0">
      <alignment horizontal="left" vertical="center"/>
    </xf>
    <xf numFmtId="0" fontId="28" fillId="0" borderId="0" applyNumberFormat="0" applyFill="0" applyBorder="0" applyProtection="0">
      <alignment horizontal="left" vertical="center"/>
    </xf>
    <xf numFmtId="0" fontId="17" fillId="0" borderId="0">
      <alignment horizontal="right"/>
    </xf>
    <xf numFmtId="0" fontId="18" fillId="0" borderId="0">
      <alignment horizontal="left" vertical="center"/>
    </xf>
    <xf numFmtId="0" fontId="19" fillId="0" borderId="4" applyBorder="0">
      <alignment horizontal="center" vertical="center"/>
    </xf>
    <xf numFmtId="0" fontId="20" fillId="0" borderId="0">
      <alignment horizontal="center"/>
    </xf>
    <xf numFmtId="0" fontId="19" fillId="0" borderId="5">
      <alignment horizontal="center" vertical="center"/>
    </xf>
    <xf numFmtId="0" fontId="21" fillId="0" borderId="6">
      <alignment horizontal="center" vertical="center"/>
    </xf>
    <xf numFmtId="0" fontId="19" fillId="0" borderId="0">
      <alignment vertical="top"/>
    </xf>
    <xf numFmtId="0" fontId="19" fillId="4" borderId="7">
      <alignment horizontal="center" vertical="top"/>
    </xf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6" fillId="0" borderId="0"/>
    <xf numFmtId="0" fontId="4" fillId="0" borderId="0"/>
    <xf numFmtId="167" fontId="4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9">
    <xf numFmtId="0" fontId="0" fillId="0" borderId="0" xfId="0"/>
    <xf numFmtId="0" fontId="10" fillId="0" borderId="0" xfId="0" applyFont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7" fontId="9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28" applyFont="1" applyAlignment="1">
      <alignment horizontal="center"/>
    </xf>
    <xf numFmtId="0" fontId="8" fillId="0" borderId="0" xfId="28" applyFont="1" applyAlignment="1">
      <alignment horizontal="left"/>
    </xf>
    <xf numFmtId="0" fontId="32" fillId="0" borderId="0" xfId="28" applyFont="1" applyAlignment="1">
      <alignment horizontal="left" vertical="center"/>
    </xf>
    <xf numFmtId="13" fontId="32" fillId="0" borderId="25" xfId="28" applyNumberFormat="1" applyFont="1" applyBorder="1" applyAlignment="1">
      <alignment horizontal="center" vertical="center"/>
    </xf>
    <xf numFmtId="13" fontId="32" fillId="0" borderId="26" xfId="28" applyNumberFormat="1" applyFont="1" applyBorder="1" applyAlignment="1">
      <alignment horizontal="center" vertical="center"/>
    </xf>
    <xf numFmtId="13" fontId="32" fillId="0" borderId="27" xfId="28" applyNumberFormat="1" applyFont="1" applyBorder="1" applyAlignment="1">
      <alignment horizontal="center" vertical="center"/>
    </xf>
    <xf numFmtId="13" fontId="32" fillId="6" borderId="26" xfId="28" applyNumberFormat="1" applyFont="1" applyFill="1" applyBorder="1" applyAlignment="1">
      <alignment horizontal="center" vertical="center"/>
    </xf>
    <xf numFmtId="13" fontId="32" fillId="0" borderId="30" xfId="28" applyNumberFormat="1" applyFont="1" applyBorder="1" applyAlignment="1">
      <alignment horizontal="center" vertical="center"/>
    </xf>
    <xf numFmtId="13" fontId="32" fillId="0" borderId="31" xfId="28" applyNumberFormat="1" applyFont="1" applyBorder="1" applyAlignment="1">
      <alignment horizontal="center" vertical="center"/>
    </xf>
    <xf numFmtId="13" fontId="32" fillId="0" borderId="12" xfId="28" applyNumberFormat="1" applyFont="1" applyBorder="1" applyAlignment="1">
      <alignment horizontal="center" vertical="center"/>
    </xf>
    <xf numFmtId="13" fontId="33" fillId="6" borderId="12" xfId="28" applyNumberFormat="1" applyFont="1" applyFill="1" applyBorder="1" applyAlignment="1">
      <alignment horizontal="center" vertical="center"/>
    </xf>
    <xf numFmtId="13" fontId="33" fillId="6" borderId="31" xfId="28" applyNumberFormat="1" applyFont="1" applyFill="1" applyBorder="1" applyAlignment="1">
      <alignment horizontal="center" vertical="center"/>
    </xf>
    <xf numFmtId="13" fontId="32" fillId="0" borderId="20" xfId="28" applyNumberFormat="1" applyFont="1" applyBorder="1" applyAlignment="1">
      <alignment horizontal="center" vertical="center"/>
    </xf>
    <xf numFmtId="13" fontId="32" fillId="0" borderId="33" xfId="28" applyNumberFormat="1" applyFont="1" applyBorder="1" applyAlignment="1">
      <alignment horizontal="center" vertical="center"/>
    </xf>
    <xf numFmtId="13" fontId="32" fillId="0" borderId="21" xfId="28" applyNumberFormat="1" applyFont="1" applyBorder="1" applyAlignment="1">
      <alignment horizontal="center" vertical="center"/>
    </xf>
    <xf numFmtId="13" fontId="33" fillId="6" borderId="26" xfId="28" applyNumberFormat="1" applyFont="1" applyFill="1" applyBorder="1" applyAlignment="1">
      <alignment horizontal="center" vertical="center"/>
    </xf>
    <xf numFmtId="13" fontId="32" fillId="6" borderId="25" xfId="28" applyNumberFormat="1" applyFont="1" applyFill="1" applyBorder="1" applyAlignment="1">
      <alignment horizontal="center" vertical="center"/>
    </xf>
    <xf numFmtId="13" fontId="32" fillId="6" borderId="27" xfId="28" applyNumberFormat="1" applyFont="1" applyFill="1" applyBorder="1" applyAlignment="1">
      <alignment horizontal="center" vertical="center"/>
    </xf>
    <xf numFmtId="12" fontId="32" fillId="0" borderId="30" xfId="28" applyNumberFormat="1" applyFont="1" applyBorder="1" applyAlignment="1">
      <alignment horizontal="center" vertical="center"/>
    </xf>
    <xf numFmtId="12" fontId="32" fillId="0" borderId="31" xfId="28" applyNumberFormat="1" applyFont="1" applyBorder="1" applyAlignment="1">
      <alignment horizontal="center" vertical="center"/>
    </xf>
    <xf numFmtId="12" fontId="32" fillId="0" borderId="12" xfId="28" applyNumberFormat="1" applyFont="1" applyBorder="1" applyAlignment="1">
      <alignment horizontal="center" vertical="center"/>
    </xf>
    <xf numFmtId="0" fontId="32" fillId="0" borderId="31" xfId="28" applyFont="1" applyBorder="1" applyAlignment="1">
      <alignment horizontal="center" vertical="center"/>
    </xf>
    <xf numFmtId="12" fontId="32" fillId="0" borderId="20" xfId="28" applyNumberFormat="1" applyFont="1" applyBorder="1" applyAlignment="1">
      <alignment horizontal="center" vertical="center"/>
    </xf>
    <xf numFmtId="12" fontId="32" fillId="0" borderId="33" xfId="28" applyNumberFormat="1" applyFont="1" applyBorder="1" applyAlignment="1">
      <alignment horizontal="center" vertical="center"/>
    </xf>
    <xf numFmtId="12" fontId="32" fillId="0" borderId="21" xfId="28" applyNumberFormat="1" applyFont="1" applyBorder="1" applyAlignment="1">
      <alignment horizontal="center" vertical="center"/>
    </xf>
    <xf numFmtId="0" fontId="32" fillId="0" borderId="33" xfId="28" applyFont="1" applyBorder="1" applyAlignment="1">
      <alignment horizontal="center" vertical="center"/>
    </xf>
    <xf numFmtId="13" fontId="32" fillId="0" borderId="41" xfId="28" applyNumberFormat="1" applyFont="1" applyBorder="1" applyAlignment="1">
      <alignment horizontal="center" vertical="center"/>
    </xf>
    <xf numFmtId="13" fontId="32" fillId="0" borderId="40" xfId="28" applyNumberFormat="1" applyFont="1" applyBorder="1" applyAlignment="1">
      <alignment horizontal="center" vertical="center"/>
    </xf>
    <xf numFmtId="13" fontId="32" fillId="0" borderId="42" xfId="28" applyNumberFormat="1" applyFont="1" applyBorder="1" applyAlignment="1">
      <alignment horizontal="center" vertical="center"/>
    </xf>
    <xf numFmtId="13" fontId="32" fillId="0" borderId="43" xfId="28" applyNumberFormat="1" applyFont="1" applyBorder="1" applyAlignment="1">
      <alignment horizontal="center" vertical="center"/>
    </xf>
    <xf numFmtId="13" fontId="32" fillId="0" borderId="39" xfId="28" applyNumberFormat="1" applyFont="1" applyBorder="1" applyAlignment="1">
      <alignment horizontal="center" vertical="center"/>
    </xf>
    <xf numFmtId="13" fontId="32" fillId="0" borderId="0" xfId="28" applyNumberFormat="1" applyFont="1" applyAlignment="1">
      <alignment horizontal="center" vertical="center"/>
    </xf>
    <xf numFmtId="13" fontId="32" fillId="6" borderId="39" xfId="28" applyNumberFormat="1" applyFont="1" applyFill="1" applyBorder="1" applyAlignment="1">
      <alignment horizontal="center" vertical="center"/>
    </xf>
    <xf numFmtId="13" fontId="33" fillId="6" borderId="25" xfId="28" applyNumberFormat="1" applyFont="1" applyFill="1" applyBorder="1" applyAlignment="1">
      <alignment horizontal="center" vertical="center"/>
    </xf>
    <xf numFmtId="13" fontId="33" fillId="6" borderId="27" xfId="28" applyNumberFormat="1" applyFont="1" applyFill="1" applyBorder="1" applyAlignment="1">
      <alignment horizontal="center" vertical="center"/>
    </xf>
    <xf numFmtId="13" fontId="33" fillId="6" borderId="30" xfId="28" applyNumberFormat="1" applyFont="1" applyFill="1" applyBorder="1" applyAlignment="1">
      <alignment horizontal="center" vertical="center"/>
    </xf>
    <xf numFmtId="13" fontId="32" fillId="6" borderId="31" xfId="28" applyNumberFormat="1" applyFont="1" applyFill="1" applyBorder="1" applyAlignment="1">
      <alignment horizontal="center" vertical="center"/>
    </xf>
    <xf numFmtId="0" fontId="34" fillId="0" borderId="0" xfId="28" applyFont="1" applyAlignment="1">
      <alignment horizontal="left"/>
    </xf>
    <xf numFmtId="13" fontId="8" fillId="0" borderId="45" xfId="28" applyNumberFormat="1" applyFont="1" applyBorder="1" applyAlignment="1">
      <alignment horizontal="center" vertical="center"/>
    </xf>
    <xf numFmtId="13" fontId="32" fillId="6" borderId="33" xfId="28" applyNumberFormat="1" applyFont="1" applyFill="1" applyBorder="1" applyAlignment="1">
      <alignment horizontal="center" vertical="center"/>
    </xf>
    <xf numFmtId="13" fontId="32" fillId="6" borderId="21" xfId="28" applyNumberFormat="1" applyFont="1" applyFill="1" applyBorder="1" applyAlignment="1">
      <alignment horizontal="center" vertical="center"/>
    </xf>
    <xf numFmtId="13" fontId="32" fillId="6" borderId="12" xfId="28" applyNumberFormat="1" applyFont="1" applyFill="1" applyBorder="1" applyAlignment="1">
      <alignment horizontal="center" vertical="center"/>
    </xf>
    <xf numFmtId="13" fontId="32" fillId="6" borderId="0" xfId="28" applyNumberFormat="1" applyFont="1" applyFill="1" applyAlignment="1">
      <alignment horizontal="center" vertical="center"/>
    </xf>
    <xf numFmtId="13" fontId="32" fillId="6" borderId="40" xfId="28" applyNumberFormat="1" applyFont="1" applyFill="1" applyBorder="1" applyAlignment="1">
      <alignment horizontal="center" vertical="center"/>
    </xf>
    <xf numFmtId="13" fontId="32" fillId="6" borderId="42" xfId="28" applyNumberFormat="1" applyFont="1" applyFill="1" applyBorder="1" applyAlignment="1">
      <alignment horizontal="center" vertical="center"/>
    </xf>
    <xf numFmtId="13" fontId="33" fillId="0" borderId="46" xfId="28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7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7" fontId="9" fillId="0" borderId="0" xfId="9" applyNumberFormat="1" applyFont="1" applyFill="1" applyBorder="1" applyAlignment="1" applyProtection="1">
      <alignment horizontal="center" vertical="center"/>
    </xf>
    <xf numFmtId="7" fontId="9" fillId="0" borderId="0" xfId="9" applyNumberFormat="1" applyFont="1" applyFill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horizontal="left" vertical="center"/>
    </xf>
    <xf numFmtId="7" fontId="9" fillId="0" borderId="0" xfId="0" applyNumberFormat="1" applyFont="1" applyAlignment="1">
      <alignment horizontal="left" vertical="center"/>
    </xf>
    <xf numFmtId="7" fontId="31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49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7" fontId="29" fillId="0" borderId="0" xfId="0" applyNumberFormat="1" applyFont="1" applyAlignment="1">
      <alignment vertical="center"/>
    </xf>
    <xf numFmtId="0" fontId="4" fillId="0" borderId="0" xfId="28"/>
    <xf numFmtId="0" fontId="4" fillId="0" borderId="0" xfId="28" applyAlignment="1">
      <alignment horizontal="center"/>
    </xf>
    <xf numFmtId="0" fontId="4" fillId="0" borderId="24" xfId="28" applyBorder="1" applyAlignment="1">
      <alignment horizontal="center"/>
    </xf>
    <xf numFmtId="0" fontId="4" fillId="0" borderId="19" xfId="28" applyBorder="1" applyAlignment="1">
      <alignment horizontal="center"/>
    </xf>
    <xf numFmtId="0" fontId="4" fillId="0" borderId="0" xfId="28" applyAlignment="1">
      <alignment horizontal="right"/>
    </xf>
    <xf numFmtId="17" fontId="4" fillId="0" borderId="0" xfId="28" quotePrefix="1" applyNumberFormat="1" applyAlignment="1">
      <alignment horizontal="center"/>
    </xf>
    <xf numFmtId="14" fontId="4" fillId="0" borderId="0" xfId="28" applyNumberFormat="1" applyAlignment="1">
      <alignment horizontal="center"/>
    </xf>
    <xf numFmtId="0" fontId="4" fillId="0" borderId="0" xfId="28" applyAlignment="1">
      <alignment horizontal="left"/>
    </xf>
    <xf numFmtId="0" fontId="9" fillId="0" borderId="0" xfId="0" applyFont="1"/>
    <xf numFmtId="0" fontId="4" fillId="6" borderId="22" xfId="28" applyFill="1" applyBorder="1" applyAlignment="1">
      <alignment horizontal="center"/>
    </xf>
    <xf numFmtId="17" fontId="4" fillId="0" borderId="0" xfId="28" applyNumberFormat="1" applyAlignment="1">
      <alignment horizontal="center"/>
    </xf>
    <xf numFmtId="168" fontId="4" fillId="0" borderId="0" xfId="11" applyFont="1" applyAlignment="1">
      <alignment horizontal="center" vertical="center"/>
    </xf>
    <xf numFmtId="0" fontId="11" fillId="0" borderId="11" xfId="16" applyFont="1" applyBorder="1" applyAlignment="1">
      <alignment horizontal="centerContinuous" vertical="center"/>
    </xf>
    <xf numFmtId="0" fontId="11" fillId="0" borderId="0" xfId="16" applyFont="1" applyBorder="1">
      <alignment horizontal="center" vertical="center"/>
    </xf>
    <xf numFmtId="0" fontId="11" fillId="0" borderId="0" xfId="16" applyFont="1" applyBorder="1" applyAlignment="1">
      <alignment horizontal="centerContinuous" vertical="center"/>
    </xf>
    <xf numFmtId="168" fontId="4" fillId="0" borderId="9" xfId="11" applyFont="1" applyBorder="1" applyAlignment="1">
      <alignment horizontal="centerContinuous" vertical="center"/>
    </xf>
    <xf numFmtId="168" fontId="4" fillId="0" borderId="14" xfId="11" applyFont="1" applyBorder="1" applyAlignment="1">
      <alignment horizontal="centerContinuous" vertical="center"/>
    </xf>
    <xf numFmtId="168" fontId="4" fillId="0" borderId="0" xfId="11" applyFont="1" applyAlignment="1">
      <alignment horizontal="centerContinuous" vertical="center"/>
    </xf>
    <xf numFmtId="168" fontId="43" fillId="0" borderId="0" xfId="11" applyFont="1" applyAlignment="1">
      <alignment horizontal="center" vertical="center"/>
    </xf>
    <xf numFmtId="168" fontId="12" fillId="0" borderId="10" xfId="11" applyFont="1" applyBorder="1" applyAlignment="1">
      <alignment horizontal="center" vertical="center"/>
    </xf>
    <xf numFmtId="168" fontId="12" fillId="0" borderId="2" xfId="11" quotePrefix="1" applyFont="1" applyBorder="1" applyAlignment="1">
      <alignment horizontal="center" vertical="center"/>
    </xf>
    <xf numFmtId="168" fontId="12" fillId="0" borderId="0" xfId="11" quotePrefix="1" applyFont="1" applyAlignment="1">
      <alignment horizontal="center" vertical="center"/>
    </xf>
    <xf numFmtId="0" fontId="11" fillId="4" borderId="0" xfId="21" applyFont="1" applyBorder="1" applyAlignment="1">
      <alignment horizontal="center" vertical="center"/>
    </xf>
    <xf numFmtId="0" fontId="11" fillId="0" borderId="4" xfId="16" applyFont="1" applyBorder="1" applyAlignment="1">
      <alignment horizontal="centerContinuous" vertical="center"/>
    </xf>
    <xf numFmtId="0" fontId="11" fillId="0" borderId="4" xfId="16" applyFont="1" applyBorder="1">
      <alignment horizontal="center" vertical="center"/>
    </xf>
    <xf numFmtId="168" fontId="12" fillId="0" borderId="2" xfId="11" applyFont="1" applyBorder="1" applyAlignment="1">
      <alignment horizontal="center" vertical="center"/>
    </xf>
    <xf numFmtId="168" fontId="12" fillId="0" borderId="13" xfId="11" applyFont="1" applyBorder="1" applyAlignment="1">
      <alignment horizontal="center" vertical="center"/>
    </xf>
    <xf numFmtId="168" fontId="4" fillId="0" borderId="1" xfId="11" applyFont="1" applyBorder="1" applyAlignment="1">
      <alignment horizontal="center" vertical="center"/>
    </xf>
    <xf numFmtId="168" fontId="12" fillId="0" borderId="0" xfId="11" applyFont="1" applyAlignment="1">
      <alignment horizontal="center" vertical="center"/>
    </xf>
    <xf numFmtId="0" fontId="9" fillId="0" borderId="0" xfId="27" applyFont="1" applyAlignment="1">
      <alignment vertical="center"/>
    </xf>
    <xf numFmtId="168" fontId="12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6" fillId="0" borderId="0" xfId="0" applyFont="1"/>
    <xf numFmtId="167" fontId="46" fillId="0" borderId="0" xfId="29" applyFont="1"/>
    <xf numFmtId="167" fontId="46" fillId="0" borderId="0" xfId="0" applyNumberFormat="1" applyFont="1"/>
    <xf numFmtId="0" fontId="9" fillId="0" borderId="0" xfId="24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48" fillId="0" borderId="0" xfId="0" applyFont="1"/>
    <xf numFmtId="167" fontId="48" fillId="0" borderId="0" xfId="0" applyNumberFormat="1" applyFont="1"/>
    <xf numFmtId="167" fontId="48" fillId="0" borderId="0" xfId="29" applyFont="1"/>
    <xf numFmtId="0" fontId="48" fillId="0" borderId="0" xfId="0" applyFont="1" applyAlignment="1">
      <alignment horizontal="center"/>
    </xf>
    <xf numFmtId="167" fontId="46" fillId="0" borderId="0" xfId="29" applyFont="1" applyAlignment="1">
      <alignment horizontal="right"/>
    </xf>
    <xf numFmtId="0" fontId="46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9" fillId="0" borderId="0" xfId="0" applyFont="1" applyAlignment="1">
      <alignment vertical="center"/>
    </xf>
    <xf numFmtId="167" fontId="46" fillId="0" borderId="0" xfId="29" applyFont="1" applyFill="1"/>
    <xf numFmtId="168" fontId="44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167" fontId="48" fillId="0" borderId="0" xfId="29" applyFont="1" applyFill="1"/>
    <xf numFmtId="0" fontId="8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7" fontId="9" fillId="6" borderId="0" xfId="0" applyNumberFormat="1" applyFont="1" applyFill="1" applyAlignment="1">
      <alignment horizontal="center" vertical="center"/>
    </xf>
    <xf numFmtId="7" fontId="9" fillId="6" borderId="0" xfId="0" applyNumberFormat="1" applyFont="1" applyFill="1" applyAlignment="1">
      <alignment horizontal="center" vertical="center" wrapText="1"/>
    </xf>
    <xf numFmtId="0" fontId="9" fillId="0" borderId="0" xfId="25" applyFont="1" applyAlignment="1">
      <alignment vertical="center"/>
    </xf>
    <xf numFmtId="0" fontId="52" fillId="0" borderId="0" xfId="25" applyFont="1" applyAlignment="1">
      <alignment vertical="center"/>
    </xf>
    <xf numFmtId="7" fontId="9" fillId="6" borderId="0" xfId="9" applyNumberFormat="1" applyFont="1" applyFill="1" applyBorder="1" applyAlignment="1" applyProtection="1">
      <alignment horizontal="center" vertical="center"/>
    </xf>
    <xf numFmtId="7" fontId="9" fillId="6" borderId="0" xfId="9" applyNumberFormat="1" applyFont="1" applyFill="1" applyAlignment="1" applyProtection="1">
      <alignment horizontal="center" vertical="center"/>
    </xf>
    <xf numFmtId="0" fontId="30" fillId="0" borderId="0" xfId="25" applyFont="1" applyAlignment="1">
      <alignment vertical="center"/>
    </xf>
    <xf numFmtId="0" fontId="9" fillId="0" borderId="0" xfId="25" applyFont="1" applyAlignment="1">
      <alignment vertical="center" wrapText="1"/>
    </xf>
    <xf numFmtId="0" fontId="4" fillId="0" borderId="0" xfId="28" quotePrefix="1" applyAlignment="1">
      <alignment horizontal="center"/>
    </xf>
    <xf numFmtId="9" fontId="46" fillId="8" borderId="0" xfId="0" applyNumberFormat="1" applyFont="1" applyFill="1"/>
    <xf numFmtId="167" fontId="53" fillId="0" borderId="0" xfId="29" applyFont="1"/>
    <xf numFmtId="167" fontId="53" fillId="0" borderId="0" xfId="0" applyNumberFormat="1" applyFont="1"/>
    <xf numFmtId="167" fontId="46" fillId="9" borderId="0" xfId="29" applyFont="1" applyFill="1"/>
    <xf numFmtId="0" fontId="46" fillId="9" borderId="0" xfId="0" applyFont="1" applyFill="1"/>
    <xf numFmtId="0" fontId="48" fillId="9" borderId="0" xfId="0" applyFont="1" applyFill="1"/>
    <xf numFmtId="2" fontId="48" fillId="9" borderId="0" xfId="0" applyNumberFormat="1" applyFont="1" applyFill="1" applyAlignment="1">
      <alignment horizontal="center"/>
    </xf>
    <xf numFmtId="0" fontId="48" fillId="9" borderId="0" xfId="0" applyFont="1" applyFill="1" applyAlignment="1">
      <alignment horizontal="center"/>
    </xf>
    <xf numFmtId="167" fontId="48" fillId="9" borderId="0" xfId="29" applyFont="1" applyFill="1"/>
    <xf numFmtId="0" fontId="48" fillId="9" borderId="0" xfId="0" applyFont="1" applyFill="1" applyAlignment="1">
      <alignment horizontal="right"/>
    </xf>
    <xf numFmtId="2" fontId="48" fillId="9" borderId="0" xfId="0" applyNumberFormat="1" applyFont="1" applyFill="1"/>
    <xf numFmtId="164" fontId="48" fillId="9" borderId="0" xfId="9" applyNumberFormat="1" applyFont="1" applyFill="1"/>
    <xf numFmtId="165" fontId="9" fillId="0" borderId="0" xfId="0" applyNumberFormat="1" applyFont="1" applyAlignment="1">
      <alignment horizontal="center" vertical="center"/>
    </xf>
    <xf numFmtId="0" fontId="54" fillId="0" borderId="0" xfId="28" applyFont="1" applyAlignment="1">
      <alignment horizontal="left"/>
    </xf>
    <xf numFmtId="0" fontId="43" fillId="0" borderId="0" xfId="28" applyFont="1" applyAlignment="1">
      <alignment horizontal="center"/>
    </xf>
    <xf numFmtId="13" fontId="43" fillId="0" borderId="29" xfId="28" applyNumberFormat="1" applyFont="1" applyBorder="1" applyAlignment="1">
      <alignment horizontal="center" vertical="center"/>
    </xf>
    <xf numFmtId="13" fontId="37" fillId="0" borderId="34" xfId="28" applyNumberFormat="1" applyFont="1" applyBorder="1" applyAlignment="1">
      <alignment horizontal="center" vertical="center"/>
    </xf>
    <xf numFmtId="13" fontId="37" fillId="0" borderId="33" xfId="28" applyNumberFormat="1" applyFont="1" applyBorder="1" applyAlignment="1">
      <alignment horizontal="center" vertical="center"/>
    </xf>
    <xf numFmtId="13" fontId="37" fillId="0" borderId="21" xfId="28" applyNumberFormat="1" applyFont="1" applyBorder="1" applyAlignment="1">
      <alignment horizontal="center" vertical="center"/>
    </xf>
    <xf numFmtId="13" fontId="37" fillId="0" borderId="20" xfId="28" applyNumberFormat="1" applyFont="1" applyBorder="1" applyAlignment="1">
      <alignment horizontal="center" vertical="center"/>
    </xf>
    <xf numFmtId="13" fontId="37" fillId="6" borderId="32" xfId="28" applyNumberFormat="1" applyFont="1" applyFill="1" applyBorder="1" applyAlignment="1">
      <alignment horizontal="center" vertical="center"/>
    </xf>
    <xf numFmtId="13" fontId="37" fillId="6" borderId="31" xfId="28" applyNumberFormat="1" applyFont="1" applyFill="1" applyBorder="1" applyAlignment="1">
      <alignment horizontal="center" vertical="center"/>
    </xf>
    <xf numFmtId="13" fontId="37" fillId="0" borderId="12" xfId="28" applyNumberFormat="1" applyFont="1" applyBorder="1" applyAlignment="1">
      <alignment horizontal="center" vertical="center"/>
    </xf>
    <xf numFmtId="13" fontId="37" fillId="0" borderId="31" xfId="28" applyNumberFormat="1" applyFont="1" applyBorder="1" applyAlignment="1">
      <alignment horizontal="center" vertical="center"/>
    </xf>
    <xf numFmtId="13" fontId="37" fillId="0" borderId="30" xfId="28" applyNumberFormat="1" applyFont="1" applyBorder="1" applyAlignment="1">
      <alignment horizontal="center" vertical="center"/>
    </xf>
    <xf numFmtId="13" fontId="37" fillId="6" borderId="28" xfId="28" applyNumberFormat="1" applyFont="1" applyFill="1" applyBorder="1" applyAlignment="1">
      <alignment horizontal="center" vertical="center"/>
    </xf>
    <xf numFmtId="13" fontId="37" fillId="6" borderId="26" xfId="28" applyNumberFormat="1" applyFont="1" applyFill="1" applyBorder="1" applyAlignment="1">
      <alignment horizontal="center" vertical="center"/>
    </xf>
    <xf numFmtId="13" fontId="37" fillId="0" borderId="27" xfId="28" applyNumberFormat="1" applyFont="1" applyBorder="1" applyAlignment="1">
      <alignment horizontal="center" vertical="center"/>
    </xf>
    <xf numFmtId="13" fontId="37" fillId="0" borderId="26" xfId="28" applyNumberFormat="1" applyFont="1" applyBorder="1" applyAlignment="1">
      <alignment horizontal="center" vertical="center"/>
    </xf>
    <xf numFmtId="13" fontId="37" fillId="0" borderId="25" xfId="28" applyNumberFormat="1" applyFont="1" applyBorder="1" applyAlignment="1">
      <alignment horizontal="center" vertical="center"/>
    </xf>
    <xf numFmtId="13" fontId="37" fillId="6" borderId="12" xfId="28" applyNumberFormat="1" applyFont="1" applyFill="1" applyBorder="1" applyAlignment="1">
      <alignment horizontal="center" vertical="center"/>
    </xf>
    <xf numFmtId="13" fontId="37" fillId="6" borderId="30" xfId="28" applyNumberFormat="1" applyFont="1" applyFill="1" applyBorder="1" applyAlignment="1">
      <alignment horizontal="center" vertical="center"/>
    </xf>
    <xf numFmtId="13" fontId="37" fillId="6" borderId="27" xfId="28" applyNumberFormat="1" applyFont="1" applyFill="1" applyBorder="1" applyAlignment="1">
      <alignment horizontal="center" vertical="center"/>
    </xf>
    <xf numFmtId="13" fontId="37" fillId="6" borderId="25" xfId="28" applyNumberFormat="1" applyFont="1" applyFill="1" applyBorder="1" applyAlignment="1">
      <alignment horizontal="center" vertical="center"/>
    </xf>
    <xf numFmtId="13" fontId="37" fillId="0" borderId="44" xfId="28" applyNumberFormat="1" applyFont="1" applyBorder="1" applyAlignment="1">
      <alignment horizontal="center" vertical="center"/>
    </xf>
    <xf numFmtId="13" fontId="37" fillId="0" borderId="39" xfId="28" applyNumberFormat="1" applyFont="1" applyBorder="1" applyAlignment="1">
      <alignment horizontal="center" vertical="center"/>
    </xf>
    <xf numFmtId="13" fontId="37" fillId="0" borderId="0" xfId="28" applyNumberFormat="1" applyFont="1" applyAlignment="1">
      <alignment horizontal="center" vertical="center"/>
    </xf>
    <xf numFmtId="13" fontId="37" fillId="0" borderId="43" xfId="28" applyNumberFormat="1" applyFont="1" applyBorder="1" applyAlignment="1">
      <alignment horizontal="center" vertical="center"/>
    </xf>
    <xf numFmtId="13" fontId="37" fillId="0" borderId="32" xfId="28" applyNumberFormat="1" applyFont="1" applyBorder="1" applyAlignment="1">
      <alignment horizontal="center" vertical="center"/>
    </xf>
    <xf numFmtId="13" fontId="37" fillId="6" borderId="44" xfId="28" applyNumberFormat="1" applyFont="1" applyFill="1" applyBorder="1" applyAlignment="1">
      <alignment horizontal="center" vertical="center"/>
    </xf>
    <xf numFmtId="13" fontId="37" fillId="6" borderId="39" xfId="28" applyNumberFormat="1" applyFont="1" applyFill="1" applyBorder="1" applyAlignment="1">
      <alignment horizontal="center" vertical="center"/>
    </xf>
    <xf numFmtId="13" fontId="37" fillId="0" borderId="24" xfId="28" applyNumberFormat="1" applyFont="1" applyBorder="1" applyAlignment="1">
      <alignment horizontal="center" vertical="center"/>
    </xf>
    <xf numFmtId="13" fontId="37" fillId="0" borderId="40" xfId="28" applyNumberFormat="1" applyFont="1" applyBorder="1" applyAlignment="1">
      <alignment horizontal="center" vertical="center"/>
    </xf>
    <xf numFmtId="13" fontId="37" fillId="0" borderId="42" xfId="28" applyNumberFormat="1" applyFont="1" applyBorder="1" applyAlignment="1">
      <alignment horizontal="center" vertical="center"/>
    </xf>
    <xf numFmtId="13" fontId="37" fillId="0" borderId="41" xfId="28" applyNumberFormat="1" applyFont="1" applyBorder="1" applyAlignment="1">
      <alignment horizontal="center" vertical="center"/>
    </xf>
    <xf numFmtId="169" fontId="37" fillId="0" borderId="26" xfId="28" applyNumberFormat="1" applyFont="1" applyBorder="1" applyAlignment="1">
      <alignment horizontal="center" vertical="center"/>
    </xf>
    <xf numFmtId="0" fontId="37" fillId="0" borderId="34" xfId="28" applyFont="1" applyBorder="1" applyAlignment="1">
      <alignment horizontal="center" vertical="center"/>
    </xf>
    <xf numFmtId="0" fontId="37" fillId="0" borderId="33" xfId="28" applyFont="1" applyBorder="1" applyAlignment="1">
      <alignment horizontal="center" vertical="center"/>
    </xf>
    <xf numFmtId="12" fontId="37" fillId="0" borderId="21" xfId="28" applyNumberFormat="1" applyFont="1" applyBorder="1" applyAlignment="1">
      <alignment horizontal="center" vertical="center"/>
    </xf>
    <xf numFmtId="0" fontId="37" fillId="0" borderId="21" xfId="28" applyFont="1" applyBorder="1" applyAlignment="1">
      <alignment horizontal="center" vertical="center"/>
    </xf>
    <xf numFmtId="12" fontId="37" fillId="0" borderId="33" xfId="28" applyNumberFormat="1" applyFont="1" applyBorder="1" applyAlignment="1">
      <alignment horizontal="center" vertical="center"/>
    </xf>
    <xf numFmtId="12" fontId="37" fillId="0" borderId="20" xfId="28" applyNumberFormat="1" applyFont="1" applyBorder="1" applyAlignment="1">
      <alignment horizontal="center" vertical="center"/>
    </xf>
    <xf numFmtId="0" fontId="37" fillId="0" borderId="32" xfId="28" applyFont="1" applyBorder="1" applyAlignment="1">
      <alignment horizontal="center" vertical="center"/>
    </xf>
    <xf numFmtId="0" fontId="37" fillId="0" borderId="31" xfId="28" applyFont="1" applyBorder="1" applyAlignment="1">
      <alignment horizontal="center" vertical="center"/>
    </xf>
    <xf numFmtId="12" fontId="37" fillId="0" borderId="12" xfId="28" applyNumberFormat="1" applyFont="1" applyBorder="1" applyAlignment="1">
      <alignment horizontal="center" vertical="center"/>
    </xf>
    <xf numFmtId="0" fontId="37" fillId="0" borderId="12" xfId="28" applyFont="1" applyBorder="1" applyAlignment="1">
      <alignment horizontal="center" vertical="center"/>
    </xf>
    <xf numFmtId="12" fontId="37" fillId="0" borderId="31" xfId="28" applyNumberFormat="1" applyFont="1" applyBorder="1" applyAlignment="1">
      <alignment horizontal="center" vertical="center"/>
    </xf>
    <xf numFmtId="12" fontId="37" fillId="0" borderId="30" xfId="28" applyNumberFormat="1" applyFont="1" applyBorder="1" applyAlignment="1">
      <alignment horizontal="center" vertical="center"/>
    </xf>
    <xf numFmtId="13" fontId="37" fillId="0" borderId="37" xfId="28" applyNumberFormat="1" applyFont="1" applyBorder="1" applyAlignment="1">
      <alignment horizontal="center" vertical="center"/>
    </xf>
    <xf numFmtId="13" fontId="37" fillId="0" borderId="36" xfId="28" applyNumberFormat="1" applyFont="1" applyBorder="1" applyAlignment="1">
      <alignment horizontal="center" vertical="center"/>
    </xf>
    <xf numFmtId="13" fontId="37" fillId="0" borderId="5" xfId="28" applyNumberFormat="1" applyFont="1" applyBorder="1" applyAlignment="1">
      <alignment horizontal="center" vertical="center"/>
    </xf>
    <xf numFmtId="13" fontId="37" fillId="0" borderId="35" xfId="28" applyNumberFormat="1" applyFont="1" applyBorder="1" applyAlignment="1">
      <alignment horizontal="center" vertical="center"/>
    </xf>
    <xf numFmtId="0" fontId="37" fillId="0" borderId="24" xfId="28" applyFont="1" applyBorder="1" applyAlignment="1">
      <alignment horizontal="center"/>
    </xf>
    <xf numFmtId="0" fontId="37" fillId="6" borderId="23" xfId="28" applyFont="1" applyFill="1" applyBorder="1" applyAlignment="1">
      <alignment horizontal="center"/>
    </xf>
    <xf numFmtId="0" fontId="37" fillId="0" borderId="19" xfId="28" applyFont="1" applyBorder="1" applyAlignment="1">
      <alignment horizontal="center"/>
    </xf>
    <xf numFmtId="13" fontId="37" fillId="0" borderId="18" xfId="28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 wrapText="1"/>
    </xf>
    <xf numFmtId="168" fontId="4" fillId="0" borderId="0" xfId="11" applyFont="1" applyAlignment="1">
      <alignment horizontal="center" vertical="center"/>
    </xf>
    <xf numFmtId="168" fontId="43" fillId="0" borderId="0" xfId="11" applyFont="1" applyAlignment="1">
      <alignment horizontal="center" vertical="center" textRotation="90"/>
    </xf>
    <xf numFmtId="168" fontId="50" fillId="0" borderId="0" xfId="11" applyFont="1" applyAlignment="1">
      <alignment horizontal="center" vertical="center" textRotation="90"/>
    </xf>
    <xf numFmtId="14" fontId="4" fillId="0" borderId="0" xfId="28" applyNumberFormat="1" applyAlignment="1">
      <alignment horizontal="center"/>
    </xf>
    <xf numFmtId="0" fontId="4" fillId="0" borderId="0" xfId="28" applyAlignment="1">
      <alignment horizontal="center"/>
    </xf>
    <xf numFmtId="0" fontId="4" fillId="0" borderId="0" xfId="28" applyAlignment="1">
      <alignment horizontal="left" wrapText="1"/>
    </xf>
    <xf numFmtId="0" fontId="4" fillId="0" borderId="0" xfId="28"/>
    <xf numFmtId="0" fontId="37" fillId="0" borderId="22" xfId="28" applyFont="1" applyBorder="1" applyAlignment="1">
      <alignment horizontal="left" vertical="center" wrapText="1"/>
    </xf>
    <xf numFmtId="0" fontId="37" fillId="0" borderId="21" xfId="28" applyFont="1" applyBorder="1" applyAlignment="1">
      <alignment vertical="center" wrapText="1"/>
    </xf>
    <xf numFmtId="0" fontId="37" fillId="0" borderId="20" xfId="28" applyFont="1" applyBorder="1" applyAlignment="1">
      <alignment vertical="center" wrapText="1"/>
    </xf>
    <xf numFmtId="0" fontId="37" fillId="0" borderId="17" xfId="28" applyFont="1" applyBorder="1" applyAlignment="1">
      <alignment horizontal="left" vertical="center" wrapText="1"/>
    </xf>
    <xf numFmtId="0" fontId="37" fillId="0" borderId="16" xfId="28" applyFont="1" applyBorder="1" applyAlignment="1">
      <alignment vertical="center" wrapText="1"/>
    </xf>
    <xf numFmtId="0" fontId="37" fillId="0" borderId="15" xfId="28" applyFont="1" applyBorder="1" applyAlignment="1">
      <alignment vertical="center" wrapText="1"/>
    </xf>
    <xf numFmtId="0" fontId="43" fillId="0" borderId="29" xfId="28" applyFont="1" applyBorder="1" applyAlignment="1">
      <alignment horizontal="center" vertical="center"/>
    </xf>
    <xf numFmtId="0" fontId="38" fillId="0" borderId="0" xfId="28" applyFont="1" applyAlignment="1">
      <alignment horizontal="center" vertical="top"/>
    </xf>
    <xf numFmtId="0" fontId="35" fillId="5" borderId="0" xfId="28" applyFont="1" applyFill="1" applyAlignment="1">
      <alignment horizontal="center" vertical="center"/>
    </xf>
    <xf numFmtId="0" fontId="43" fillId="0" borderId="40" xfId="28" applyFont="1" applyBorder="1" applyAlignment="1">
      <alignment horizontal="center" vertical="center" wrapText="1"/>
    </xf>
    <xf numFmtId="0" fontId="43" fillId="0" borderId="39" xfId="28" applyFont="1" applyBorder="1" applyAlignment="1">
      <alignment horizontal="center" vertical="center" wrapText="1"/>
    </xf>
    <xf numFmtId="0" fontId="43" fillId="0" borderId="38" xfId="28" applyFont="1" applyBorder="1" applyAlignment="1">
      <alignment horizontal="center" vertical="center" wrapText="1"/>
    </xf>
    <xf numFmtId="0" fontId="43" fillId="0" borderId="40" xfId="28" applyFont="1" applyBorder="1" applyAlignment="1">
      <alignment horizontal="center" vertical="center"/>
    </xf>
    <xf numFmtId="0" fontId="43" fillId="0" borderId="39" xfId="28" applyFont="1" applyBorder="1" applyAlignment="1">
      <alignment horizontal="center" vertical="center"/>
    </xf>
    <xf numFmtId="0" fontId="43" fillId="0" borderId="38" xfId="28" applyFont="1" applyBorder="1" applyAlignment="1">
      <alignment horizontal="center" vertical="center"/>
    </xf>
    <xf numFmtId="0" fontId="32" fillId="0" borderId="34" xfId="28" applyFont="1" applyBorder="1" applyAlignment="1">
      <alignment horizontal="left" vertical="center" wrapText="1"/>
    </xf>
    <xf numFmtId="0" fontId="32" fillId="0" borderId="21" xfId="28" applyFont="1" applyBorder="1" applyAlignment="1">
      <alignment horizontal="left" vertical="center" wrapText="1"/>
    </xf>
    <xf numFmtId="0" fontId="32" fillId="0" borderId="20" xfId="28" applyFont="1" applyBorder="1" applyAlignment="1">
      <alignment horizontal="left" vertical="center" wrapText="1"/>
    </xf>
    <xf numFmtId="0" fontId="32" fillId="0" borderId="28" xfId="28" applyFont="1" applyBorder="1" applyAlignment="1">
      <alignment horizontal="left" vertical="center" wrapText="1"/>
    </xf>
    <xf numFmtId="0" fontId="32" fillId="0" borderId="27" xfId="28" applyFont="1" applyBorder="1" applyAlignment="1">
      <alignment horizontal="left" vertical="center" wrapText="1"/>
    </xf>
    <xf numFmtId="0" fontId="32" fillId="0" borderId="25" xfId="28" applyFont="1" applyBorder="1" applyAlignment="1">
      <alignment horizontal="left" vertical="center" wrapText="1"/>
    </xf>
    <xf numFmtId="0" fontId="8" fillId="0" borderId="29" xfId="28" applyFont="1" applyBorder="1" applyAlignment="1">
      <alignment horizontal="center" vertical="center"/>
    </xf>
    <xf numFmtId="0" fontId="36" fillId="0" borderId="0" xfId="28" applyFont="1" applyAlignment="1">
      <alignment horizontal="center" vertical="center"/>
    </xf>
    <xf numFmtId="0" fontId="37" fillId="0" borderId="0" xfId="28" applyFont="1" applyAlignment="1">
      <alignment horizontal="center" vertical="center"/>
    </xf>
    <xf numFmtId="0" fontId="35" fillId="7" borderId="0" xfId="28" applyFont="1" applyFill="1" applyAlignment="1">
      <alignment horizontal="center" wrapText="1"/>
    </xf>
    <xf numFmtId="0" fontId="35" fillId="7" borderId="0" xfId="28" applyFont="1" applyFill="1" applyAlignment="1">
      <alignment horizontal="center"/>
    </xf>
    <xf numFmtId="0" fontId="8" fillId="0" borderId="40" xfId="28" applyFont="1" applyBorder="1" applyAlignment="1">
      <alignment horizontal="center" vertical="center" wrapText="1"/>
    </xf>
    <xf numFmtId="0" fontId="8" fillId="0" borderId="39" xfId="28" applyFont="1" applyBorder="1" applyAlignment="1">
      <alignment horizontal="center" vertical="center" wrapText="1"/>
    </xf>
    <xf numFmtId="0" fontId="8" fillId="0" borderId="38" xfId="28" applyFont="1" applyBorder="1" applyAlignment="1">
      <alignment horizontal="center" vertical="center" wrapText="1"/>
    </xf>
    <xf numFmtId="0" fontId="8" fillId="0" borderId="40" xfId="28" applyFont="1" applyBorder="1" applyAlignment="1">
      <alignment horizontal="center" vertical="center"/>
    </xf>
    <xf numFmtId="0" fontId="8" fillId="0" borderId="39" xfId="28" applyFont="1" applyBorder="1" applyAlignment="1">
      <alignment horizontal="center" vertical="center"/>
    </xf>
    <xf numFmtId="0" fontId="8" fillId="0" borderId="38" xfId="28" applyFont="1" applyBorder="1" applyAlignment="1">
      <alignment horizontal="center" vertical="center"/>
    </xf>
  </cellXfs>
  <cellStyles count="31">
    <cellStyle name="chiffre" xfId="1" xr:uid="{00000000-0005-0000-0000-000000000000}"/>
    <cellStyle name="Comma" xfId="29" builtinId="3"/>
    <cellStyle name="Currency" xfId="9" builtinId="4"/>
    <cellStyle name="Currency 3" xfId="30" xr:uid="{97C38E52-9184-446C-87DA-B8CE35F3007B}"/>
    <cellStyle name="Donnée gauche" xfId="2" xr:uid="{00000000-0005-0000-0000-000001000000}"/>
    <cellStyle name="Egress" xfId="3" xr:uid="{00000000-0005-0000-0000-000002000000}"/>
    <cellStyle name="encadre" xfId="4" xr:uid="{00000000-0005-0000-0000-000003000000}"/>
    <cellStyle name="Entête [hFB]" xfId="5" xr:uid="{00000000-0005-0000-0000-000004000000}"/>
    <cellStyle name="Entête condensé [hFCB]" xfId="6" xr:uid="{00000000-0005-0000-0000-000005000000}"/>
    <cellStyle name="Entête extra condensé [hFUCB]" xfId="7" xr:uid="{00000000-0005-0000-0000-000006000000}"/>
    <cellStyle name="Entête ultra condensé [hFMCB]" xfId="8" xr:uid="{00000000-0005-0000-0000-000007000000}"/>
    <cellStyle name="Non d‚fini" xfId="10" xr:uid="{00000000-0005-0000-0000-000009000000}"/>
    <cellStyle name="Normal" xfId="0" builtinId="0"/>
    <cellStyle name="Normal 2" xfId="22" xr:uid="{00000000-0005-0000-0000-00000B000000}"/>
    <cellStyle name="Normal 2 2" xfId="26" xr:uid="{00000000-0005-0000-0000-00000C000000}"/>
    <cellStyle name="Normal 2 3" xfId="28" xr:uid="{95C99FB9-CE51-49FD-AD9B-DD3E235DD411}"/>
    <cellStyle name="Normal 2_Codes uni 2 plis Octobre 2012" xfId="23" xr:uid="{00000000-0005-0000-0000-00000D000000}"/>
    <cellStyle name="Normal 3" xfId="24" xr:uid="{00000000-0005-0000-0000-00000E000000}"/>
    <cellStyle name="Normal 4" xfId="25" xr:uid="{00000000-0005-0000-0000-00000F000000}"/>
    <cellStyle name="Normal 5" xfId="27" xr:uid="{00000000-0005-0000-0000-000010000000}"/>
    <cellStyle name="Normal_PRIX CAT FRANC" xfId="11" xr:uid="{00000000-0005-0000-0000-000011000000}"/>
    <cellStyle name="note" xfId="12" xr:uid="{00000000-0005-0000-0000-000012000000}"/>
    <cellStyle name="Nouveau groupe [gFB]" xfId="13" xr:uid="{00000000-0005-0000-0000-000013000000}"/>
    <cellStyle name="page" xfId="14" xr:uid="{00000000-0005-0000-0000-000014000000}"/>
    <cellStyle name="texte" xfId="15" xr:uid="{00000000-0005-0000-0000-000015000000}"/>
    <cellStyle name="titre_trame" xfId="16" xr:uid="{00000000-0005-0000-0000-000016000000}"/>
    <cellStyle name="titre1" xfId="17" xr:uid="{00000000-0005-0000-0000-000017000000}"/>
    <cellStyle name="titre2" xfId="18" xr:uid="{00000000-0005-0000-0000-000018000000}"/>
    <cellStyle name="titre3" xfId="19" xr:uid="{00000000-0005-0000-0000-000019000000}"/>
    <cellStyle name="titre4_1" xfId="20" xr:uid="{00000000-0005-0000-0000-00001A000000}"/>
    <cellStyle name="titre4_2" xfId="21" xr:uid="{00000000-0005-0000-0000-00001B000000}"/>
  </cellStyles>
  <dxfs count="20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1" defaultTableStyle="TableStyleMedium2" defaultPivotStyle="PivotStyleLight16">
    <tableStyle name="Invisible" pivot="0" table="0" count="0" xr9:uid="{580E0E5D-644C-41FB-A6DD-68EA4A21A06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emf"/><Relationship Id="rId1" Type="http://schemas.openxmlformats.org/officeDocument/2006/relationships/image" Target="../media/image8.png"/><Relationship Id="rId6" Type="http://schemas.openxmlformats.org/officeDocument/2006/relationships/image" Target="../media/image4.png"/><Relationship Id="rId5" Type="http://schemas.openxmlformats.org/officeDocument/2006/relationships/image" Target="cid:image002.png@01D466D7.2BBAC810" TargetMode="External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6.emf"/><Relationship Id="rId11" Type="http://schemas.openxmlformats.org/officeDocument/2006/relationships/image" Target="../media/image18.png"/><Relationship Id="rId5" Type="http://schemas.openxmlformats.org/officeDocument/2006/relationships/image" Target="../media/image15.png"/><Relationship Id="rId10" Type="http://schemas.openxmlformats.org/officeDocument/2006/relationships/image" Target="cid:image002.png@01D466D7.2BBAC810" TargetMode="External"/><Relationship Id="rId4" Type="http://schemas.openxmlformats.org/officeDocument/2006/relationships/image" Target="../media/image14.jpeg"/><Relationship Id="rId9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48</xdr:col>
      <xdr:colOff>7589</xdr:colOff>
      <xdr:row>33</xdr:row>
      <xdr:rowOff>19306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AE425-A98B-67DB-78F7-87C669B5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0" y="495300"/>
          <a:ext cx="24105839" cy="4972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378460</xdr:colOff>
      <xdr:row>5</xdr:row>
      <xdr:rowOff>93980</xdr:rowOff>
    </xdr:from>
    <xdr:to>
      <xdr:col>2</xdr:col>
      <xdr:colOff>927100</xdr:colOff>
      <xdr:row>10</xdr:row>
      <xdr:rowOff>193040</xdr:rowOff>
    </xdr:to>
    <xdr:pic>
      <xdr:nvPicPr>
        <xdr:cNvPr id="22529" name="Image 1">
          <a:extLst>
            <a:ext uri="{FF2B5EF4-FFF2-40B4-BE49-F238E27FC236}">
              <a16:creationId xmlns:a16="http://schemas.microsoft.com/office/drawing/2014/main" id="{00000000-0008-0000-0100-0000015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7260" y="1059180"/>
          <a:ext cx="548640" cy="11150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576580</xdr:colOff>
      <xdr:row>5</xdr:row>
      <xdr:rowOff>106680</xdr:rowOff>
    </xdr:from>
    <xdr:to>
      <xdr:col>3</xdr:col>
      <xdr:colOff>1109980</xdr:colOff>
      <xdr:row>10</xdr:row>
      <xdr:rowOff>220980</xdr:rowOff>
    </xdr:to>
    <xdr:pic>
      <xdr:nvPicPr>
        <xdr:cNvPr id="22530" name="Image 2">
          <a:extLst>
            <a:ext uri="{FF2B5EF4-FFF2-40B4-BE49-F238E27FC236}">
              <a16:creationId xmlns:a16="http://schemas.microsoft.com/office/drawing/2014/main" id="{00000000-0008-0000-0100-0000025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4280" y="1071880"/>
          <a:ext cx="533400" cy="1130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505460</xdr:colOff>
      <xdr:row>5</xdr:row>
      <xdr:rowOff>119380</xdr:rowOff>
    </xdr:from>
    <xdr:to>
      <xdr:col>4</xdr:col>
      <xdr:colOff>1008380</xdr:colOff>
      <xdr:row>11</xdr:row>
      <xdr:rowOff>7620</xdr:rowOff>
    </xdr:to>
    <xdr:sp macro="" textlink="">
      <xdr:nvSpPr>
        <xdr:cNvPr id="22533" name="Rectangle 13">
          <a:extLst>
            <a:ext uri="{FF2B5EF4-FFF2-40B4-BE49-F238E27FC236}">
              <a16:creationId xmlns:a16="http://schemas.microsoft.com/office/drawing/2014/main" id="{00000000-0008-0000-0100-000005580000}"/>
            </a:ext>
          </a:extLst>
        </xdr:cNvPr>
        <xdr:cNvSpPr>
          <a:spLocks noChangeAspect="1" noChangeArrowheads="1"/>
        </xdr:cNvSpPr>
      </xdr:nvSpPr>
      <xdr:spPr bwMode="auto">
        <a:xfrm>
          <a:off x="5318760" y="1084580"/>
          <a:ext cx="502920" cy="1145540"/>
        </a:xfrm>
        <a:prstGeom prst="rect">
          <a:avLst/>
        </a:prstGeom>
        <a:solidFill>
          <a:srgbClr val="FFFFFF"/>
        </a:solidFill>
        <a:ln w="222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105833</xdr:colOff>
      <xdr:row>0</xdr:row>
      <xdr:rowOff>95250</xdr:rowOff>
    </xdr:from>
    <xdr:to>
      <xdr:col>2</xdr:col>
      <xdr:colOff>556470</xdr:colOff>
      <xdr:row>0</xdr:row>
      <xdr:rowOff>623366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33" y="95250"/>
          <a:ext cx="2831887" cy="528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284480</xdr:colOff>
      <xdr:row>5</xdr:row>
      <xdr:rowOff>0</xdr:rowOff>
    </xdr:from>
    <xdr:to>
      <xdr:col>4</xdr:col>
      <xdr:colOff>767080</xdr:colOff>
      <xdr:row>11</xdr:row>
      <xdr:rowOff>12699</xdr:rowOff>
    </xdr:to>
    <xdr:pic>
      <xdr:nvPicPr>
        <xdr:cNvPr id="6" name="Picture 5" descr="santafe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6880" y="1066800"/>
          <a:ext cx="48260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243840</xdr:colOff>
      <xdr:row>5</xdr:row>
      <xdr:rowOff>7620</xdr:rowOff>
    </xdr:from>
    <xdr:to>
      <xdr:col>3</xdr:col>
      <xdr:colOff>749300</xdr:colOff>
      <xdr:row>10</xdr:row>
      <xdr:rowOff>190499</xdr:rowOff>
    </xdr:to>
    <xdr:pic>
      <xdr:nvPicPr>
        <xdr:cNvPr id="8" name="Picture 7" descr="ROCKPO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560" y="1074420"/>
          <a:ext cx="515620" cy="1160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254000</xdr:colOff>
      <xdr:row>5</xdr:row>
      <xdr:rowOff>0</xdr:rowOff>
    </xdr:from>
    <xdr:to>
      <xdr:col>2</xdr:col>
      <xdr:colOff>805180</xdr:colOff>
      <xdr:row>11</xdr:row>
      <xdr:rowOff>12699</xdr:rowOff>
    </xdr:to>
    <xdr:pic>
      <xdr:nvPicPr>
        <xdr:cNvPr id="10" name="Picture 2" descr="DCI_Cambridge_Passag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1066800"/>
          <a:ext cx="55118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63500</xdr:colOff>
      <xdr:row>0</xdr:row>
      <xdr:rowOff>74083</xdr:rowOff>
    </xdr:from>
    <xdr:to>
      <xdr:col>2</xdr:col>
      <xdr:colOff>598804</xdr:colOff>
      <xdr:row>0</xdr:row>
      <xdr:rowOff>602199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" y="74083"/>
          <a:ext cx="2831887" cy="528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314416</xdr:colOff>
      <xdr:row>5</xdr:row>
      <xdr:rowOff>67673</xdr:rowOff>
    </xdr:from>
    <xdr:to>
      <xdr:col>6</xdr:col>
      <xdr:colOff>794476</xdr:colOff>
      <xdr:row>10</xdr:row>
      <xdr:rowOff>156573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023" y="1945459"/>
          <a:ext cx="480060" cy="10958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276013</xdr:colOff>
      <xdr:row>5</xdr:row>
      <xdr:rowOff>72814</xdr:rowOff>
    </xdr:from>
    <xdr:to>
      <xdr:col>2</xdr:col>
      <xdr:colOff>753533</xdr:colOff>
      <xdr:row>10</xdr:row>
      <xdr:rowOff>154094</xdr:rowOff>
    </xdr:to>
    <xdr:pic>
      <xdr:nvPicPr>
        <xdr:cNvPr id="10" name="Picture 4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413" y="1139614"/>
          <a:ext cx="477520" cy="108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5</xdr:row>
      <xdr:rowOff>68580</xdr:rowOff>
    </xdr:from>
    <xdr:to>
      <xdr:col>3</xdr:col>
      <xdr:colOff>655320</xdr:colOff>
      <xdr:row>10</xdr:row>
      <xdr:rowOff>190500</xdr:rowOff>
    </xdr:to>
    <xdr:grpSp>
      <xdr:nvGrpSpPr>
        <xdr:cNvPr id="21" name="Group 6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>
          <a:grpSpLocks/>
        </xdr:cNvGrpSpPr>
      </xdr:nvGrpSpPr>
      <xdr:grpSpPr bwMode="auto">
        <a:xfrm>
          <a:off x="3504071" y="1917136"/>
          <a:ext cx="403860" cy="1109697"/>
          <a:chOff x="351" y="108"/>
          <a:chExt cx="56" cy="136"/>
        </a:xfrm>
      </xdr:grpSpPr>
      <xdr:sp macro="" textlink="">
        <xdr:nvSpPr>
          <xdr:cNvPr id="22" name="Rectangle 43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351" y="108"/>
            <a:ext cx="56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333333"/>
            </a:solidFill>
            <a:miter lim="800000"/>
            <a:headEnd/>
            <a:tailEnd/>
          </a:ln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361" y="119"/>
            <a:ext cx="0" cy="108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397" y="119"/>
            <a:ext cx="0" cy="108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46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361" y="118"/>
            <a:ext cx="36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7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361" y="228"/>
            <a:ext cx="36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4</xdr:col>
      <xdr:colOff>198562</xdr:colOff>
      <xdr:row>5</xdr:row>
      <xdr:rowOff>63500</xdr:rowOff>
    </xdr:from>
    <xdr:to>
      <xdr:col>4</xdr:col>
      <xdr:colOff>647700</xdr:colOff>
      <xdr:row>11</xdr:row>
      <xdr:rowOff>9525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562" y="1130300"/>
          <a:ext cx="449138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241300</xdr:colOff>
      <xdr:row>5</xdr:row>
      <xdr:rowOff>63500</xdr:rowOff>
    </xdr:from>
    <xdr:to>
      <xdr:col>5</xdr:col>
      <xdr:colOff>816219</xdr:colOff>
      <xdr:row>11</xdr:row>
      <xdr:rowOff>25400</xdr:rowOff>
    </xdr:to>
    <xdr:pic>
      <xdr:nvPicPr>
        <xdr:cNvPr id="16" name="Picture 1" descr="cid:image002.png@01D466D7.2BBAC810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800" y="1130300"/>
          <a:ext cx="574919" cy="116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149679</xdr:colOff>
      <xdr:row>0</xdr:row>
      <xdr:rowOff>81643</xdr:rowOff>
    </xdr:from>
    <xdr:to>
      <xdr:col>2</xdr:col>
      <xdr:colOff>587162</xdr:colOff>
      <xdr:row>0</xdr:row>
      <xdr:rowOff>609759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679" y="81643"/>
          <a:ext cx="2831887" cy="5281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83344</xdr:rowOff>
    </xdr:from>
    <xdr:to>
      <xdr:col>0</xdr:col>
      <xdr:colOff>2915230</xdr:colOff>
      <xdr:row>3</xdr:row>
      <xdr:rowOff>39960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" y="83344"/>
          <a:ext cx="2831887" cy="5281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188322</xdr:colOff>
      <xdr:row>1</xdr:row>
      <xdr:rowOff>83820</xdr:rowOff>
    </xdr:from>
    <xdr:to>
      <xdr:col>1</xdr:col>
      <xdr:colOff>1026522</xdr:colOff>
      <xdr:row>6</xdr:row>
      <xdr:rowOff>83819</xdr:rowOff>
    </xdr:to>
    <xdr:pic>
      <xdr:nvPicPr>
        <xdr:cNvPr id="2" name="Picture 1" descr="bostonian">
          <a:extLst>
            <a:ext uri="{FF2B5EF4-FFF2-40B4-BE49-F238E27FC236}">
              <a16:creationId xmlns:a16="http://schemas.microsoft.com/office/drawing/2014/main" id="{02CEA688-57AA-4063-8880-DA6AF7C559D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822" y="1163320"/>
          <a:ext cx="83820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182747</xdr:colOff>
      <xdr:row>1</xdr:row>
      <xdr:rowOff>136030</xdr:rowOff>
    </xdr:from>
    <xdr:to>
      <xdr:col>0</xdr:col>
      <xdr:colOff>734671</xdr:colOff>
      <xdr:row>7</xdr:row>
      <xdr:rowOff>189743</xdr:rowOff>
    </xdr:to>
    <xdr:sp macro="" textlink="">
      <xdr:nvSpPr>
        <xdr:cNvPr id="3" name="WordArt 7">
          <a:extLst>
            <a:ext uri="{FF2B5EF4-FFF2-40B4-BE49-F238E27FC236}">
              <a16:creationId xmlns:a16="http://schemas.microsoft.com/office/drawing/2014/main" id="{3D2B0B93-CD04-47EB-86F1-9A26263EEB83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622248" y="2020525"/>
          <a:ext cx="2161913" cy="551924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Wood Grain</a:t>
          </a:r>
          <a:endParaRPr lang="fr-CA" sz="1200" b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171449</xdr:colOff>
      <xdr:row>1</xdr:row>
      <xdr:rowOff>83820</xdr:rowOff>
    </xdr:from>
    <xdr:to>
      <xdr:col>2</xdr:col>
      <xdr:colOff>1017269</xdr:colOff>
      <xdr:row>6</xdr:row>
      <xdr:rowOff>83819</xdr:rowOff>
    </xdr:to>
    <xdr:pic>
      <xdr:nvPicPr>
        <xdr:cNvPr id="4" name="Picture 9" descr="DCI_Camden_Passage">
          <a:extLst>
            <a:ext uri="{FF2B5EF4-FFF2-40B4-BE49-F238E27FC236}">
              <a16:creationId xmlns:a16="http://schemas.microsoft.com/office/drawing/2014/main" id="{7A1EB734-5831-4C36-A934-F0418A5C41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199" y="1163320"/>
          <a:ext cx="84582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141786</xdr:colOff>
      <xdr:row>12</xdr:row>
      <xdr:rowOff>83820</xdr:rowOff>
    </xdr:from>
    <xdr:to>
      <xdr:col>3</xdr:col>
      <xdr:colOff>941886</xdr:colOff>
      <xdr:row>16</xdr:row>
      <xdr:rowOff>144780</xdr:rowOff>
    </xdr:to>
    <xdr:pic>
      <xdr:nvPicPr>
        <xdr:cNvPr id="5" name="Picture 14" descr="ROCKPORT">
          <a:extLst>
            <a:ext uri="{FF2B5EF4-FFF2-40B4-BE49-F238E27FC236}">
              <a16:creationId xmlns:a16="http://schemas.microsoft.com/office/drawing/2014/main" id="{20B2F742-58AB-4D67-B547-40898194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186" y="4414520"/>
          <a:ext cx="8001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158931</xdr:colOff>
      <xdr:row>12</xdr:row>
      <xdr:rowOff>112395</xdr:rowOff>
    </xdr:from>
    <xdr:to>
      <xdr:col>2</xdr:col>
      <xdr:colOff>959031</xdr:colOff>
      <xdr:row>16</xdr:row>
      <xdr:rowOff>150495</xdr:rowOff>
    </xdr:to>
    <xdr:pic>
      <xdr:nvPicPr>
        <xdr:cNvPr id="6" name="Picture 15" descr="SANTAFE SLAB1">
          <a:extLst>
            <a:ext uri="{FF2B5EF4-FFF2-40B4-BE49-F238E27FC236}">
              <a16:creationId xmlns:a16="http://schemas.microsoft.com/office/drawing/2014/main" id="{CFF5D6B0-6090-4585-AF60-CE5F07C769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681" y="4443095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140425</xdr:colOff>
      <xdr:row>22</xdr:row>
      <xdr:rowOff>74295</xdr:rowOff>
    </xdr:from>
    <xdr:to>
      <xdr:col>1</xdr:col>
      <xdr:colOff>932905</xdr:colOff>
      <xdr:row>26</xdr:row>
      <xdr:rowOff>135255</xdr:rowOff>
    </xdr:to>
    <xdr:pic>
      <xdr:nvPicPr>
        <xdr:cNvPr id="7" name="Picture 23">
          <a:extLst>
            <a:ext uri="{FF2B5EF4-FFF2-40B4-BE49-F238E27FC236}">
              <a16:creationId xmlns:a16="http://schemas.microsoft.com/office/drawing/2014/main" id="{B9EC96AA-CDAF-49B7-AFA9-E680DDD70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25" y="7567295"/>
          <a:ext cx="792480" cy="1965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181247</xdr:colOff>
      <xdr:row>22</xdr:row>
      <xdr:rowOff>64770</xdr:rowOff>
    </xdr:from>
    <xdr:to>
      <xdr:col>2</xdr:col>
      <xdr:colOff>966107</xdr:colOff>
      <xdr:row>26</xdr:row>
      <xdr:rowOff>72390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E3BF330C-257D-4CD8-8FFC-3B5D83F623D4}"/>
            </a:ext>
          </a:extLst>
        </xdr:cNvPr>
        <xdr:cNvSpPr>
          <a:spLocks noChangeArrowheads="1"/>
        </xdr:cNvSpPr>
      </xdr:nvSpPr>
      <xdr:spPr bwMode="auto">
        <a:xfrm>
          <a:off x="2371997" y="7557770"/>
          <a:ext cx="784860" cy="1912620"/>
        </a:xfrm>
        <a:prstGeom prst="rect">
          <a:avLst/>
        </a:prstGeom>
        <a:solidFill>
          <a:srgbClr val="FFFFFF"/>
        </a:solidFill>
        <a:ln w="9525">
          <a:solidFill>
            <a:srgbClr val="333333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159203</xdr:colOff>
      <xdr:row>22</xdr:row>
      <xdr:rowOff>45720</xdr:rowOff>
    </xdr:from>
    <xdr:to>
      <xdr:col>3</xdr:col>
      <xdr:colOff>959303</xdr:colOff>
      <xdr:row>26</xdr:row>
      <xdr:rowOff>83820</xdr:rowOff>
    </xdr:to>
    <xdr:pic>
      <xdr:nvPicPr>
        <xdr:cNvPr id="9" name="Picture 61">
          <a:extLst>
            <a:ext uri="{FF2B5EF4-FFF2-40B4-BE49-F238E27FC236}">
              <a16:creationId xmlns:a16="http://schemas.microsoft.com/office/drawing/2014/main" id="{A9B57312-FEBA-4405-98FB-76273ACC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603" y="7538720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158931</xdr:colOff>
      <xdr:row>22</xdr:row>
      <xdr:rowOff>62865</xdr:rowOff>
    </xdr:from>
    <xdr:to>
      <xdr:col>4</xdr:col>
      <xdr:colOff>936171</xdr:colOff>
      <xdr:row>26</xdr:row>
      <xdr:rowOff>123825</xdr:rowOff>
    </xdr:to>
    <xdr:pic>
      <xdr:nvPicPr>
        <xdr:cNvPr id="10" name="Image 18">
          <a:extLst>
            <a:ext uri="{FF2B5EF4-FFF2-40B4-BE49-F238E27FC236}">
              <a16:creationId xmlns:a16="http://schemas.microsoft.com/office/drawing/2014/main" id="{65CEC78B-305F-4CC6-BE60-B8B09B24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981" y="7555865"/>
          <a:ext cx="77724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325755</xdr:colOff>
      <xdr:row>22</xdr:row>
      <xdr:rowOff>266700</xdr:rowOff>
    </xdr:from>
    <xdr:to>
      <xdr:col>2</xdr:col>
      <xdr:colOff>821055</xdr:colOff>
      <xdr:row>22</xdr:row>
      <xdr:rowOff>266700</xdr:rowOff>
    </xdr:to>
    <xdr:sp macro="" textlink="">
      <xdr:nvSpPr>
        <xdr:cNvPr id="11" name="Line 27">
          <a:extLst>
            <a:ext uri="{FF2B5EF4-FFF2-40B4-BE49-F238E27FC236}">
              <a16:creationId xmlns:a16="http://schemas.microsoft.com/office/drawing/2014/main" id="{045478FC-1438-4D37-B7B6-F385857F7EF3}"/>
            </a:ext>
          </a:extLst>
        </xdr:cNvPr>
        <xdr:cNvSpPr>
          <a:spLocks noChangeShapeType="1"/>
        </xdr:cNvSpPr>
      </xdr:nvSpPr>
      <xdr:spPr bwMode="auto">
        <a:xfrm>
          <a:off x="2516505" y="7759700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24</xdr:row>
      <xdr:rowOff>196215</xdr:rowOff>
    </xdr:from>
    <xdr:to>
      <xdr:col>2</xdr:col>
      <xdr:colOff>821055</xdr:colOff>
      <xdr:row>24</xdr:row>
      <xdr:rowOff>196215</xdr:rowOff>
    </xdr:to>
    <xdr:sp macro="" textlink="">
      <xdr:nvSpPr>
        <xdr:cNvPr id="12" name="Line 30">
          <a:extLst>
            <a:ext uri="{FF2B5EF4-FFF2-40B4-BE49-F238E27FC236}">
              <a16:creationId xmlns:a16="http://schemas.microsoft.com/office/drawing/2014/main" id="{2362CA02-838B-491F-8005-484D279DF1BC}"/>
            </a:ext>
          </a:extLst>
        </xdr:cNvPr>
        <xdr:cNvSpPr>
          <a:spLocks noChangeShapeType="1"/>
        </xdr:cNvSpPr>
      </xdr:nvSpPr>
      <xdr:spPr bwMode="auto">
        <a:xfrm>
          <a:off x="2516505" y="9238615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22</xdr:row>
      <xdr:rowOff>276225</xdr:rowOff>
    </xdr:from>
    <xdr:to>
      <xdr:col>2</xdr:col>
      <xdr:colOff>325755</xdr:colOff>
      <xdr:row>25</xdr:row>
      <xdr:rowOff>1905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11C6C9DB-5DFB-42AC-95F6-88C6BEC0B8C3}"/>
            </a:ext>
          </a:extLst>
        </xdr:cNvPr>
        <xdr:cNvSpPr>
          <a:spLocks noChangeShapeType="1"/>
        </xdr:cNvSpPr>
      </xdr:nvSpPr>
      <xdr:spPr bwMode="auto">
        <a:xfrm>
          <a:off x="2516505" y="7769225"/>
          <a:ext cx="0" cy="147193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813435</xdr:colOff>
      <xdr:row>22</xdr:row>
      <xdr:rowOff>285750</xdr:rowOff>
    </xdr:from>
    <xdr:to>
      <xdr:col>2</xdr:col>
      <xdr:colOff>813435</xdr:colOff>
      <xdr:row>25</xdr:row>
      <xdr:rowOff>3810</xdr:rowOff>
    </xdr:to>
    <xdr:sp macro="" textlink="">
      <xdr:nvSpPr>
        <xdr:cNvPr id="14" name="Line 32">
          <a:extLst>
            <a:ext uri="{FF2B5EF4-FFF2-40B4-BE49-F238E27FC236}">
              <a16:creationId xmlns:a16="http://schemas.microsoft.com/office/drawing/2014/main" id="{4291F505-10E4-43E4-81AD-87F9CEBE7BB0}"/>
            </a:ext>
          </a:extLst>
        </xdr:cNvPr>
        <xdr:cNvSpPr>
          <a:spLocks noChangeShapeType="1"/>
        </xdr:cNvSpPr>
      </xdr:nvSpPr>
      <xdr:spPr bwMode="auto">
        <a:xfrm>
          <a:off x="3004185" y="7778750"/>
          <a:ext cx="0" cy="146431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170633</xdr:colOff>
      <xdr:row>12</xdr:row>
      <xdr:rowOff>97155</xdr:rowOff>
    </xdr:from>
    <xdr:to>
      <xdr:col>1</xdr:col>
      <xdr:colOff>1001213</xdr:colOff>
      <xdr:row>16</xdr:row>
      <xdr:rowOff>135255</xdr:rowOff>
    </xdr:to>
    <xdr:pic>
      <xdr:nvPicPr>
        <xdr:cNvPr id="15" name="Picture 5" descr="DCI_Cambridge_Passage">
          <a:extLst>
            <a:ext uri="{FF2B5EF4-FFF2-40B4-BE49-F238E27FC236}">
              <a16:creationId xmlns:a16="http://schemas.microsoft.com/office/drawing/2014/main" id="{9BCAEA0E-DDA0-4495-A012-518FE2C1DD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33" y="4427855"/>
          <a:ext cx="8305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155121</xdr:colOff>
      <xdr:row>22</xdr:row>
      <xdr:rowOff>59055</xdr:rowOff>
    </xdr:from>
    <xdr:to>
      <xdr:col>5</xdr:col>
      <xdr:colOff>993321</xdr:colOff>
      <xdr:row>26</xdr:row>
      <xdr:rowOff>147955</xdr:rowOff>
    </xdr:to>
    <xdr:pic>
      <xdr:nvPicPr>
        <xdr:cNvPr id="16" name="Picture 1" descr="cid:image002.png@01D466D7.2BBAC810">
          <a:extLst>
            <a:ext uri="{FF2B5EF4-FFF2-40B4-BE49-F238E27FC236}">
              <a16:creationId xmlns:a16="http://schemas.microsoft.com/office/drawing/2014/main" id="{4D1ED94A-AA6D-4210-BFAB-43EC92FE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7552055"/>
          <a:ext cx="8382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940593</xdr:colOff>
      <xdr:row>0</xdr:row>
      <xdr:rowOff>142875</xdr:rowOff>
    </xdr:from>
    <xdr:to>
      <xdr:col>4</xdr:col>
      <xdr:colOff>1085012</xdr:colOff>
      <xdr:row>0</xdr:row>
      <xdr:rowOff>815181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F5507E5-FCDD-4175-B3E0-F0FF2C9A1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3093" y="142875"/>
          <a:ext cx="3655969" cy="6723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1</xdr:row>
      <xdr:rowOff>1</xdr:rowOff>
    </xdr:from>
    <xdr:to>
      <xdr:col>2</xdr:col>
      <xdr:colOff>197643</xdr:colOff>
      <xdr:row>1</xdr:row>
      <xdr:rowOff>453851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8BD96-83A9-496B-87C5-512E6079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" y="165101"/>
          <a:ext cx="2462212" cy="45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1</xdr:row>
      <xdr:rowOff>0</xdr:rowOff>
    </xdr:from>
    <xdr:to>
      <xdr:col>5</xdr:col>
      <xdr:colOff>194027</xdr:colOff>
      <xdr:row>1</xdr:row>
      <xdr:rowOff>493909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A5A89-210C-4B08-BD9F-9D2F11076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5100"/>
          <a:ext cx="2653594" cy="493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72C3-DB9F-464D-AD79-EBE17B9EAE30}">
  <dimension ref="A1:P59"/>
  <sheetViews>
    <sheetView tabSelected="1" workbookViewId="0">
      <selection activeCell="P4" sqref="P4"/>
    </sheetView>
  </sheetViews>
  <sheetFormatPr defaultColWidth="8.84375" defaultRowHeight="13"/>
  <cols>
    <col min="1" max="1" width="3.69140625" style="110" bestFit="1" customWidth="1"/>
    <col min="2" max="2" width="8.84375" style="110"/>
    <col min="3" max="3" width="5.3828125" style="110" bestFit="1" customWidth="1"/>
    <col min="4" max="4" width="8.84375" style="110"/>
    <col min="5" max="5" width="9.69140625" style="110" bestFit="1" customWidth="1"/>
    <col min="6" max="6" width="7.84375" style="110" customWidth="1"/>
    <col min="7" max="7" width="4" style="110" customWidth="1"/>
    <col min="8" max="8" width="8.84375" style="110"/>
    <col min="9" max="9" width="4" style="110" customWidth="1"/>
    <col min="10" max="10" width="8.84375" style="110"/>
    <col min="11" max="11" width="4.53515625" style="110" bestFit="1" customWidth="1"/>
    <col min="12" max="12" width="8.84375" style="110"/>
    <col min="13" max="13" width="3.23046875" style="110" customWidth="1"/>
    <col min="14" max="14" width="8.84375" style="110"/>
    <col min="15" max="15" width="3.07421875" style="110" bestFit="1" customWidth="1"/>
    <col min="16" max="16384" width="8.84375" style="110"/>
  </cols>
  <sheetData>
    <row r="1" spans="1:16">
      <c r="A1" s="144"/>
      <c r="B1" s="144"/>
      <c r="C1" s="144"/>
      <c r="E1" s="140">
        <v>0</v>
      </c>
      <c r="H1" s="146">
        <v>4.75</v>
      </c>
      <c r="I1" s="120"/>
      <c r="J1" s="147">
        <v>11.65</v>
      </c>
    </row>
    <row r="2" spans="1:16">
      <c r="A2" s="144"/>
      <c r="B2" s="144" t="s">
        <v>72</v>
      </c>
      <c r="C2" s="144" t="s">
        <v>76</v>
      </c>
      <c r="F2" s="117" t="s">
        <v>72</v>
      </c>
      <c r="G2" s="117"/>
      <c r="H2" s="117" t="s">
        <v>26</v>
      </c>
      <c r="I2" s="117"/>
      <c r="J2" s="117" t="s">
        <v>75</v>
      </c>
      <c r="K2" s="117"/>
      <c r="L2" s="117" t="s">
        <v>76</v>
      </c>
      <c r="N2" s="117"/>
      <c r="O2" s="120"/>
    </row>
    <row r="3" spans="1:16">
      <c r="A3" s="144" t="s">
        <v>78</v>
      </c>
      <c r="B3" s="144" t="s">
        <v>73</v>
      </c>
      <c r="C3" s="144"/>
      <c r="E3" s="120" t="s">
        <v>78</v>
      </c>
      <c r="F3" s="117" t="s">
        <v>73</v>
      </c>
      <c r="G3" s="117"/>
      <c r="H3" s="117" t="s">
        <v>73</v>
      </c>
      <c r="I3" s="117"/>
      <c r="J3" s="117" t="s">
        <v>73</v>
      </c>
      <c r="K3" s="117"/>
      <c r="L3" s="117" t="s">
        <v>73</v>
      </c>
      <c r="N3" s="117"/>
    </row>
    <row r="4" spans="1:16">
      <c r="A4" s="144">
        <v>12</v>
      </c>
      <c r="B4" s="143">
        <v>61.300000000000004</v>
      </c>
      <c r="C4" s="143">
        <v>50.900000000000006</v>
      </c>
      <c r="D4" s="111"/>
      <c r="E4" s="120">
        <v>12</v>
      </c>
      <c r="F4" s="111">
        <f>MROUND(B4*(1+$E$1),0.05)</f>
        <v>61.300000000000004</v>
      </c>
      <c r="H4" s="112">
        <f t="shared" ref="H4:H16" si="0">F4+$H$1</f>
        <v>66.050000000000011</v>
      </c>
      <c r="J4" s="112">
        <f t="shared" ref="J4:J16" si="1">F4+$J$1</f>
        <v>72.95</v>
      </c>
      <c r="L4" s="125">
        <f>MROUND(C4*(1+$E$1),0.05)</f>
        <v>50.900000000000006</v>
      </c>
      <c r="N4" s="112"/>
      <c r="P4" s="112"/>
    </row>
    <row r="5" spans="1:16">
      <c r="A5" s="144">
        <v>14</v>
      </c>
      <c r="B5" s="143">
        <v>61.300000000000004</v>
      </c>
      <c r="C5" s="143">
        <v>50.900000000000006</v>
      </c>
      <c r="D5" s="111"/>
      <c r="E5" s="120">
        <v>14</v>
      </c>
      <c r="F5" s="111">
        <f t="shared" ref="F5:F17" si="2">MROUND(B5*(1+$E$1),0.05)</f>
        <v>61.300000000000004</v>
      </c>
      <c r="H5" s="112">
        <f t="shared" si="0"/>
        <v>66.050000000000011</v>
      </c>
      <c r="J5" s="112">
        <f t="shared" si="1"/>
        <v>72.95</v>
      </c>
      <c r="L5" s="125">
        <f t="shared" ref="L5:L17" si="3">MROUND(C5*(1+$E$1),0.05)</f>
        <v>50.900000000000006</v>
      </c>
      <c r="N5" s="112"/>
      <c r="P5" s="112"/>
    </row>
    <row r="6" spans="1:16">
      <c r="A6" s="144">
        <v>16</v>
      </c>
      <c r="B6" s="143">
        <v>61.300000000000004</v>
      </c>
      <c r="C6" s="143">
        <v>50.900000000000006</v>
      </c>
      <c r="D6" s="111"/>
      <c r="E6" s="120">
        <v>16</v>
      </c>
      <c r="F6" s="111">
        <f t="shared" si="2"/>
        <v>61.300000000000004</v>
      </c>
      <c r="H6" s="112">
        <f t="shared" si="0"/>
        <v>66.050000000000011</v>
      </c>
      <c r="J6" s="112">
        <f t="shared" si="1"/>
        <v>72.95</v>
      </c>
      <c r="L6" s="125">
        <f t="shared" si="3"/>
        <v>50.900000000000006</v>
      </c>
      <c r="N6" s="112"/>
      <c r="P6" s="112"/>
    </row>
    <row r="7" spans="1:16">
      <c r="A7" s="144">
        <v>18</v>
      </c>
      <c r="B7" s="143">
        <v>61.300000000000004</v>
      </c>
      <c r="C7" s="143">
        <v>50.900000000000006</v>
      </c>
      <c r="D7" s="111"/>
      <c r="E7" s="120">
        <v>18</v>
      </c>
      <c r="F7" s="111">
        <f t="shared" si="2"/>
        <v>61.300000000000004</v>
      </c>
      <c r="H7" s="112">
        <f t="shared" si="0"/>
        <v>66.050000000000011</v>
      </c>
      <c r="J7" s="112">
        <f t="shared" si="1"/>
        <v>72.95</v>
      </c>
      <c r="L7" s="125">
        <f t="shared" si="3"/>
        <v>50.900000000000006</v>
      </c>
      <c r="N7" s="112"/>
      <c r="P7" s="112"/>
    </row>
    <row r="8" spans="1:16">
      <c r="A8" s="144">
        <v>20</v>
      </c>
      <c r="B8" s="143">
        <v>64.650000000000006</v>
      </c>
      <c r="C8" s="143">
        <v>52.050000000000004</v>
      </c>
      <c r="D8" s="111"/>
      <c r="E8" s="120">
        <v>20</v>
      </c>
      <c r="F8" s="111">
        <f t="shared" si="2"/>
        <v>64.650000000000006</v>
      </c>
      <c r="H8" s="112">
        <f t="shared" si="0"/>
        <v>69.400000000000006</v>
      </c>
      <c r="J8" s="112">
        <f t="shared" si="1"/>
        <v>76.300000000000011</v>
      </c>
      <c r="L8" s="125">
        <f t="shared" si="3"/>
        <v>52.050000000000004</v>
      </c>
      <c r="N8" s="112"/>
      <c r="P8" s="112"/>
    </row>
    <row r="9" spans="1:16">
      <c r="A9" s="144">
        <v>22</v>
      </c>
      <c r="B9" s="143">
        <v>64.650000000000006</v>
      </c>
      <c r="C9" s="143">
        <v>52.050000000000004</v>
      </c>
      <c r="D9" s="111"/>
      <c r="E9" s="120">
        <v>22</v>
      </c>
      <c r="F9" s="111">
        <f t="shared" si="2"/>
        <v>64.650000000000006</v>
      </c>
      <c r="H9" s="112">
        <f t="shared" si="0"/>
        <v>69.400000000000006</v>
      </c>
      <c r="J9" s="112">
        <f t="shared" si="1"/>
        <v>76.300000000000011</v>
      </c>
      <c r="L9" s="125">
        <f t="shared" si="3"/>
        <v>52.050000000000004</v>
      </c>
      <c r="N9" s="112"/>
      <c r="P9" s="112"/>
    </row>
    <row r="10" spans="1:16">
      <c r="A10" s="144">
        <v>24</v>
      </c>
      <c r="B10" s="143">
        <v>64.650000000000006</v>
      </c>
      <c r="C10" s="143">
        <v>52.050000000000004</v>
      </c>
      <c r="D10" s="111"/>
      <c r="E10" s="120">
        <v>24</v>
      </c>
      <c r="F10" s="111">
        <f t="shared" si="2"/>
        <v>64.650000000000006</v>
      </c>
      <c r="H10" s="112">
        <f t="shared" si="0"/>
        <v>69.400000000000006</v>
      </c>
      <c r="J10" s="112">
        <f t="shared" si="1"/>
        <v>76.300000000000011</v>
      </c>
      <c r="L10" s="125">
        <f t="shared" si="3"/>
        <v>52.050000000000004</v>
      </c>
      <c r="N10" s="112"/>
      <c r="P10" s="112"/>
    </row>
    <row r="11" spans="1:16">
      <c r="A11" s="144">
        <v>26</v>
      </c>
      <c r="B11" s="143">
        <v>67</v>
      </c>
      <c r="C11" s="143">
        <v>55.45</v>
      </c>
      <c r="D11" s="111"/>
      <c r="E11" s="120">
        <v>26</v>
      </c>
      <c r="F11" s="111">
        <f t="shared" si="2"/>
        <v>67</v>
      </c>
      <c r="H11" s="112">
        <f t="shared" si="0"/>
        <v>71.75</v>
      </c>
      <c r="J11" s="112">
        <f t="shared" si="1"/>
        <v>78.650000000000006</v>
      </c>
      <c r="L11" s="125">
        <f t="shared" si="3"/>
        <v>55.45</v>
      </c>
      <c r="N11" s="112"/>
      <c r="P11" s="112"/>
    </row>
    <row r="12" spans="1:16">
      <c r="A12" s="144">
        <v>28</v>
      </c>
      <c r="B12" s="143">
        <v>67</v>
      </c>
      <c r="C12" s="143">
        <v>55.45</v>
      </c>
      <c r="D12" s="111"/>
      <c r="E12" s="120">
        <v>28</v>
      </c>
      <c r="F12" s="111">
        <f t="shared" si="2"/>
        <v>67</v>
      </c>
      <c r="H12" s="112">
        <f t="shared" si="0"/>
        <v>71.75</v>
      </c>
      <c r="J12" s="112">
        <f t="shared" si="1"/>
        <v>78.650000000000006</v>
      </c>
      <c r="L12" s="125">
        <f t="shared" si="3"/>
        <v>55.45</v>
      </c>
      <c r="N12" s="112"/>
      <c r="P12" s="112"/>
    </row>
    <row r="13" spans="1:16">
      <c r="A13" s="144">
        <v>30</v>
      </c>
      <c r="B13" s="143">
        <v>67</v>
      </c>
      <c r="C13" s="143">
        <v>55.45</v>
      </c>
      <c r="D13" s="111"/>
      <c r="E13" s="120">
        <v>30</v>
      </c>
      <c r="F13" s="111">
        <f t="shared" si="2"/>
        <v>67</v>
      </c>
      <c r="H13" s="112">
        <f t="shared" si="0"/>
        <v>71.75</v>
      </c>
      <c r="J13" s="112">
        <f t="shared" si="1"/>
        <v>78.650000000000006</v>
      </c>
      <c r="L13" s="125">
        <f t="shared" si="3"/>
        <v>55.45</v>
      </c>
      <c r="N13" s="112"/>
      <c r="P13" s="112"/>
    </row>
    <row r="14" spans="1:16">
      <c r="A14" s="144">
        <v>32</v>
      </c>
      <c r="B14" s="143">
        <v>69.3</v>
      </c>
      <c r="C14" s="143">
        <v>57.400000000000006</v>
      </c>
      <c r="D14" s="111"/>
      <c r="E14" s="120">
        <v>32</v>
      </c>
      <c r="F14" s="111">
        <f t="shared" si="2"/>
        <v>69.3</v>
      </c>
      <c r="H14" s="112">
        <f t="shared" si="0"/>
        <v>74.05</v>
      </c>
      <c r="J14" s="112">
        <f t="shared" si="1"/>
        <v>80.95</v>
      </c>
      <c r="L14" s="125">
        <f t="shared" si="3"/>
        <v>57.400000000000006</v>
      </c>
      <c r="N14" s="112"/>
      <c r="P14" s="112"/>
    </row>
    <row r="15" spans="1:16">
      <c r="A15" s="144">
        <v>34</v>
      </c>
      <c r="B15" s="143">
        <v>72.7</v>
      </c>
      <c r="C15" s="143">
        <v>62.2</v>
      </c>
      <c r="D15" s="111"/>
      <c r="E15" s="120">
        <v>34</v>
      </c>
      <c r="F15" s="111">
        <f t="shared" si="2"/>
        <v>72.7</v>
      </c>
      <c r="H15" s="112">
        <f t="shared" si="0"/>
        <v>77.45</v>
      </c>
      <c r="J15" s="112">
        <f t="shared" si="1"/>
        <v>84.350000000000009</v>
      </c>
      <c r="L15" s="125">
        <f t="shared" si="3"/>
        <v>62.2</v>
      </c>
      <c r="N15" s="112"/>
      <c r="P15" s="112"/>
    </row>
    <row r="16" spans="1:16">
      <c r="A16" s="144">
        <v>36</v>
      </c>
      <c r="B16" s="143">
        <v>72.7</v>
      </c>
      <c r="C16" s="143">
        <v>62.2</v>
      </c>
      <c r="D16" s="111"/>
      <c r="E16" s="120">
        <v>36</v>
      </c>
      <c r="F16" s="111">
        <f t="shared" si="2"/>
        <v>72.7</v>
      </c>
      <c r="H16" s="112">
        <f t="shared" si="0"/>
        <v>77.45</v>
      </c>
      <c r="J16" s="112">
        <f t="shared" si="1"/>
        <v>84.350000000000009</v>
      </c>
      <c r="L16" s="125">
        <f t="shared" si="3"/>
        <v>62.2</v>
      </c>
      <c r="N16" s="112"/>
      <c r="P16" s="112"/>
    </row>
    <row r="17" spans="1:16">
      <c r="A17" s="144">
        <v>38</v>
      </c>
      <c r="B17" s="143">
        <v>100.60000000000001</v>
      </c>
      <c r="C17" s="143">
        <v>89.9</v>
      </c>
      <c r="D17" s="111"/>
      <c r="E17" s="120">
        <v>38</v>
      </c>
      <c r="F17" s="111">
        <f t="shared" si="2"/>
        <v>100.60000000000001</v>
      </c>
      <c r="H17" s="110" t="s">
        <v>28</v>
      </c>
      <c r="J17" s="112" t="s">
        <v>28</v>
      </c>
      <c r="L17" s="125">
        <f t="shared" si="3"/>
        <v>89.9</v>
      </c>
      <c r="N17" s="112"/>
      <c r="P17" s="112"/>
    </row>
    <row r="18" spans="1:16">
      <c r="A18" s="144"/>
      <c r="B18" s="143"/>
      <c r="C18" s="143"/>
      <c r="D18" s="121" t="s">
        <v>80</v>
      </c>
      <c r="E18" s="117" t="s">
        <v>83</v>
      </c>
      <c r="F18" s="148">
        <v>30.75</v>
      </c>
      <c r="H18" s="111">
        <f>F18</f>
        <v>30.75</v>
      </c>
      <c r="J18" s="112">
        <f>F18</f>
        <v>30.75</v>
      </c>
      <c r="L18" s="148">
        <v>30.75</v>
      </c>
      <c r="N18" s="112"/>
    </row>
    <row r="19" spans="1:16">
      <c r="A19" s="144"/>
      <c r="B19" s="143"/>
      <c r="C19" s="143"/>
      <c r="D19" s="121" t="s">
        <v>80</v>
      </c>
      <c r="E19" s="117" t="s">
        <v>84</v>
      </c>
      <c r="F19" s="148">
        <v>85.350000000000009</v>
      </c>
      <c r="H19" s="111">
        <f t="shared" ref="H19:H22" si="4">F19</f>
        <v>85.350000000000009</v>
      </c>
      <c r="J19" s="112">
        <f t="shared" ref="J19:J22" si="5">F19</f>
        <v>85.350000000000009</v>
      </c>
      <c r="L19" s="148">
        <v>73.150000000000006</v>
      </c>
      <c r="N19" s="112"/>
    </row>
    <row r="20" spans="1:16">
      <c r="A20" s="144"/>
      <c r="B20" s="143"/>
      <c r="C20" s="143"/>
      <c r="D20" s="121" t="s">
        <v>80</v>
      </c>
      <c r="E20" s="117" t="s">
        <v>85</v>
      </c>
      <c r="F20" s="148">
        <v>88</v>
      </c>
      <c r="H20" s="111">
        <f t="shared" si="4"/>
        <v>88</v>
      </c>
      <c r="J20" s="112">
        <f t="shared" si="5"/>
        <v>88</v>
      </c>
      <c r="L20" s="148">
        <v>65.2</v>
      </c>
      <c r="N20" s="112"/>
    </row>
    <row r="21" spans="1:16">
      <c r="A21" s="144"/>
      <c r="B21" s="143"/>
      <c r="C21" s="143"/>
      <c r="D21" s="121" t="s">
        <v>80</v>
      </c>
      <c r="E21" s="117" t="s">
        <v>86</v>
      </c>
      <c r="F21" s="148">
        <v>104.4</v>
      </c>
      <c r="H21" s="111">
        <f t="shared" si="4"/>
        <v>104.4</v>
      </c>
      <c r="J21" s="112">
        <f t="shared" si="5"/>
        <v>104.4</v>
      </c>
      <c r="L21" s="148">
        <v>84.25</v>
      </c>
      <c r="N21" s="112"/>
    </row>
    <row r="22" spans="1:16">
      <c r="A22" s="144"/>
      <c r="B22" s="143"/>
      <c r="C22" s="143"/>
      <c r="D22" s="121" t="s">
        <v>80</v>
      </c>
      <c r="E22" s="117" t="s">
        <v>87</v>
      </c>
      <c r="F22" s="148">
        <v>196.10000000000002</v>
      </c>
      <c r="H22" s="111">
        <f t="shared" si="4"/>
        <v>196.10000000000002</v>
      </c>
      <c r="J22" s="112">
        <f t="shared" si="5"/>
        <v>196.10000000000002</v>
      </c>
      <c r="L22" s="148">
        <v>131.45000000000002</v>
      </c>
      <c r="N22" s="112"/>
    </row>
    <row r="23" spans="1:16">
      <c r="A23" s="144"/>
      <c r="B23" s="143"/>
      <c r="C23" s="143"/>
      <c r="D23" s="121" t="s">
        <v>80</v>
      </c>
      <c r="E23" s="117" t="s">
        <v>88</v>
      </c>
      <c r="F23" s="148">
        <v>31.8</v>
      </c>
      <c r="H23" s="111" t="s">
        <v>28</v>
      </c>
      <c r="J23" s="112" t="s">
        <v>28</v>
      </c>
      <c r="L23" s="148">
        <v>30.75</v>
      </c>
      <c r="N23" s="112"/>
    </row>
    <row r="24" spans="1:16">
      <c r="A24" s="144"/>
      <c r="B24" s="143"/>
      <c r="C24" s="143"/>
      <c r="D24" s="121" t="s">
        <v>80</v>
      </c>
      <c r="E24" s="117" t="s">
        <v>89</v>
      </c>
      <c r="F24" s="148">
        <v>36.550000000000004</v>
      </c>
      <c r="H24" s="111" t="s">
        <v>28</v>
      </c>
      <c r="J24" s="112" t="s">
        <v>28</v>
      </c>
      <c r="L24" s="148">
        <v>36.550000000000004</v>
      </c>
      <c r="N24" s="112"/>
    </row>
    <row r="25" spans="1:16">
      <c r="A25" s="144"/>
      <c r="B25" s="143"/>
      <c r="C25" s="143"/>
      <c r="D25" s="130" t="s">
        <v>111</v>
      </c>
      <c r="E25" s="117"/>
      <c r="F25" s="148">
        <v>65.7</v>
      </c>
      <c r="H25" s="111">
        <f>F25</f>
        <v>65.7</v>
      </c>
      <c r="J25" s="112">
        <f>F25</f>
        <v>65.7</v>
      </c>
      <c r="L25" s="148">
        <v>65.7</v>
      </c>
      <c r="N25" s="112"/>
    </row>
    <row r="26" spans="1:16">
      <c r="A26" s="144"/>
      <c r="B26" s="143"/>
      <c r="C26" s="143"/>
      <c r="D26" s="130" t="s">
        <v>112</v>
      </c>
      <c r="E26" s="117"/>
      <c r="F26" s="148">
        <v>79.5</v>
      </c>
      <c r="H26" s="111">
        <f>F26</f>
        <v>79.5</v>
      </c>
      <c r="J26" s="112">
        <f>F26</f>
        <v>79.5</v>
      </c>
      <c r="L26" s="148">
        <v>79.5</v>
      </c>
      <c r="N26" s="112"/>
    </row>
    <row r="27" spans="1:16">
      <c r="A27" s="144"/>
      <c r="B27" s="143"/>
      <c r="C27" s="143"/>
      <c r="D27" s="121"/>
      <c r="F27" s="111"/>
      <c r="J27" s="112"/>
      <c r="L27" s="111"/>
    </row>
    <row r="28" spans="1:16">
      <c r="A28" s="144"/>
      <c r="B28" s="144"/>
      <c r="C28" s="143"/>
      <c r="D28" s="121"/>
      <c r="F28" s="117" t="s">
        <v>72</v>
      </c>
      <c r="G28" s="117"/>
      <c r="H28" s="117" t="s">
        <v>26</v>
      </c>
      <c r="I28" s="117"/>
      <c r="J28" s="117" t="s">
        <v>75</v>
      </c>
      <c r="K28" s="117"/>
      <c r="L28" s="117" t="s">
        <v>76</v>
      </c>
      <c r="N28" s="117"/>
    </row>
    <row r="29" spans="1:16">
      <c r="A29" s="144"/>
      <c r="B29" s="144" t="s">
        <v>110</v>
      </c>
      <c r="C29" s="143"/>
      <c r="D29" s="121"/>
      <c r="E29" s="120" t="s">
        <v>78</v>
      </c>
      <c r="F29" s="117" t="s">
        <v>102</v>
      </c>
      <c r="G29" s="117"/>
      <c r="H29" s="117" t="s">
        <v>102</v>
      </c>
      <c r="I29" s="117"/>
      <c r="J29" s="117" t="s">
        <v>102</v>
      </c>
      <c r="K29" s="117"/>
      <c r="L29" s="117" t="s">
        <v>102</v>
      </c>
      <c r="N29" s="117"/>
      <c r="O29" s="117"/>
    </row>
    <row r="30" spans="1:16">
      <c r="A30" s="144">
        <v>18</v>
      </c>
      <c r="B30" s="143">
        <v>78.45</v>
      </c>
      <c r="C30" s="143">
        <v>71.3</v>
      </c>
      <c r="D30" s="121"/>
      <c r="E30" s="120">
        <v>18</v>
      </c>
      <c r="F30" s="111">
        <f t="shared" ref="F30:F39" si="6">MROUND((B30+$B$41)*(1+$E$1),0.05)</f>
        <v>78.45</v>
      </c>
      <c r="H30" s="112">
        <f t="shared" ref="H30:H39" si="7">F30+$H$1</f>
        <v>83.2</v>
      </c>
      <c r="J30" s="112">
        <f t="shared" ref="J30:J39" si="8">F30+$J$1</f>
        <v>90.100000000000009</v>
      </c>
      <c r="L30" s="111">
        <f t="shared" ref="L30:L39" si="9">MROUND((C30+$B$41)*(1+$E$1),0.05)</f>
        <v>71.3</v>
      </c>
      <c r="N30" s="112"/>
    </row>
    <row r="31" spans="1:16">
      <c r="A31" s="144">
        <v>20</v>
      </c>
      <c r="B31" s="143">
        <v>78.45</v>
      </c>
      <c r="C31" s="143">
        <v>71.3</v>
      </c>
      <c r="D31" s="121"/>
      <c r="E31" s="120">
        <v>20</v>
      </c>
      <c r="F31" s="111">
        <f t="shared" si="6"/>
        <v>78.45</v>
      </c>
      <c r="H31" s="112">
        <f t="shared" si="7"/>
        <v>83.2</v>
      </c>
      <c r="J31" s="112">
        <f t="shared" si="8"/>
        <v>90.100000000000009</v>
      </c>
      <c r="L31" s="111">
        <f t="shared" si="9"/>
        <v>71.3</v>
      </c>
      <c r="N31" s="112"/>
    </row>
    <row r="32" spans="1:16">
      <c r="A32" s="144">
        <v>22</v>
      </c>
      <c r="B32" s="143">
        <v>78.45</v>
      </c>
      <c r="C32" s="143">
        <v>71.3</v>
      </c>
      <c r="D32" s="121"/>
      <c r="E32" s="120">
        <v>22</v>
      </c>
      <c r="F32" s="111">
        <f t="shared" si="6"/>
        <v>78.45</v>
      </c>
      <c r="H32" s="112">
        <f t="shared" si="7"/>
        <v>83.2</v>
      </c>
      <c r="J32" s="112">
        <f t="shared" si="8"/>
        <v>90.100000000000009</v>
      </c>
      <c r="L32" s="111">
        <f t="shared" si="9"/>
        <v>71.3</v>
      </c>
      <c r="N32" s="112"/>
    </row>
    <row r="33" spans="1:16">
      <c r="A33" s="144">
        <v>24</v>
      </c>
      <c r="B33" s="143">
        <v>78.45</v>
      </c>
      <c r="C33" s="143">
        <v>71.3</v>
      </c>
      <c r="D33" s="121"/>
      <c r="E33" s="120">
        <v>24</v>
      </c>
      <c r="F33" s="111">
        <f t="shared" si="6"/>
        <v>78.45</v>
      </c>
      <c r="H33" s="112">
        <f t="shared" si="7"/>
        <v>83.2</v>
      </c>
      <c r="J33" s="112">
        <f t="shared" si="8"/>
        <v>90.100000000000009</v>
      </c>
      <c r="L33" s="111">
        <f t="shared" si="9"/>
        <v>71.3</v>
      </c>
      <c r="N33" s="112"/>
    </row>
    <row r="34" spans="1:16">
      <c r="A34" s="144">
        <v>26</v>
      </c>
      <c r="B34" s="143">
        <v>86.45</v>
      </c>
      <c r="C34" s="143">
        <v>77.2</v>
      </c>
      <c r="D34" s="121"/>
      <c r="E34" s="120">
        <v>26</v>
      </c>
      <c r="F34" s="111">
        <f t="shared" si="6"/>
        <v>86.45</v>
      </c>
      <c r="H34" s="112">
        <f t="shared" si="7"/>
        <v>91.2</v>
      </c>
      <c r="J34" s="112">
        <f t="shared" si="8"/>
        <v>98.100000000000009</v>
      </c>
      <c r="L34" s="111">
        <f t="shared" si="9"/>
        <v>77.2</v>
      </c>
      <c r="N34" s="112"/>
    </row>
    <row r="35" spans="1:16">
      <c r="A35" s="144">
        <v>28</v>
      </c>
      <c r="B35" s="143">
        <v>86.45</v>
      </c>
      <c r="C35" s="143">
        <v>77.2</v>
      </c>
      <c r="D35" s="121"/>
      <c r="E35" s="120">
        <v>28</v>
      </c>
      <c r="F35" s="111">
        <f t="shared" si="6"/>
        <v>86.45</v>
      </c>
      <c r="H35" s="112">
        <f t="shared" si="7"/>
        <v>91.2</v>
      </c>
      <c r="J35" s="112">
        <f t="shared" si="8"/>
        <v>98.100000000000009</v>
      </c>
      <c r="L35" s="111">
        <f t="shared" si="9"/>
        <v>77.2</v>
      </c>
      <c r="N35" s="112"/>
    </row>
    <row r="36" spans="1:16">
      <c r="A36" s="144">
        <v>30</v>
      </c>
      <c r="B36" s="143">
        <v>86.45</v>
      </c>
      <c r="C36" s="143">
        <v>77.2</v>
      </c>
      <c r="D36" s="121"/>
      <c r="E36" s="120">
        <v>30</v>
      </c>
      <c r="F36" s="111">
        <f t="shared" si="6"/>
        <v>86.45</v>
      </c>
      <c r="H36" s="112">
        <f t="shared" si="7"/>
        <v>91.2</v>
      </c>
      <c r="J36" s="112">
        <f t="shared" si="8"/>
        <v>98.100000000000009</v>
      </c>
      <c r="L36" s="111">
        <f t="shared" si="9"/>
        <v>77.2</v>
      </c>
      <c r="N36" s="112"/>
    </row>
    <row r="37" spans="1:16">
      <c r="A37" s="144">
        <v>32</v>
      </c>
      <c r="B37" s="143">
        <v>91.5</v>
      </c>
      <c r="C37" s="143">
        <v>82.65</v>
      </c>
      <c r="D37" s="121"/>
      <c r="E37" s="120">
        <v>32</v>
      </c>
      <c r="F37" s="111">
        <f t="shared" si="6"/>
        <v>91.5</v>
      </c>
      <c r="H37" s="112">
        <f t="shared" si="7"/>
        <v>96.25</v>
      </c>
      <c r="J37" s="112">
        <f t="shared" si="8"/>
        <v>103.15</v>
      </c>
      <c r="L37" s="111">
        <f t="shared" si="9"/>
        <v>82.65</v>
      </c>
      <c r="N37" s="112"/>
    </row>
    <row r="38" spans="1:16">
      <c r="A38" s="144">
        <v>34</v>
      </c>
      <c r="B38" s="143">
        <v>91.5</v>
      </c>
      <c r="C38" s="143">
        <v>82.65</v>
      </c>
      <c r="D38" s="121"/>
      <c r="E38" s="120">
        <v>34</v>
      </c>
      <c r="F38" s="111">
        <f t="shared" si="6"/>
        <v>91.5</v>
      </c>
      <c r="H38" s="112">
        <f t="shared" si="7"/>
        <v>96.25</v>
      </c>
      <c r="J38" s="112">
        <f t="shared" si="8"/>
        <v>103.15</v>
      </c>
      <c r="L38" s="111">
        <f t="shared" si="9"/>
        <v>82.65</v>
      </c>
      <c r="N38" s="112"/>
    </row>
    <row r="39" spans="1:16">
      <c r="A39" s="144">
        <v>36</v>
      </c>
      <c r="B39" s="143">
        <v>91.5</v>
      </c>
      <c r="C39" s="143">
        <v>82.65</v>
      </c>
      <c r="D39" s="121"/>
      <c r="E39" s="120">
        <v>36</v>
      </c>
      <c r="F39" s="111">
        <f t="shared" si="6"/>
        <v>91.5</v>
      </c>
      <c r="H39" s="112">
        <f t="shared" si="7"/>
        <v>96.25</v>
      </c>
      <c r="J39" s="112">
        <f t="shared" si="8"/>
        <v>103.15</v>
      </c>
      <c r="L39" s="111">
        <f t="shared" si="9"/>
        <v>82.65</v>
      </c>
      <c r="N39" s="112"/>
    </row>
    <row r="40" spans="1:16">
      <c r="A40" s="144"/>
      <c r="B40" s="144"/>
      <c r="C40" s="144"/>
      <c r="D40" s="122" t="s">
        <v>80</v>
      </c>
      <c r="E40" s="117" t="s">
        <v>91</v>
      </c>
      <c r="F40" s="112">
        <f>F18</f>
        <v>30.75</v>
      </c>
      <c r="H40" s="112">
        <f>F40</f>
        <v>30.75</v>
      </c>
      <c r="J40" s="112">
        <f>F40</f>
        <v>30.75</v>
      </c>
      <c r="L40" s="141">
        <f>L18</f>
        <v>30.75</v>
      </c>
    </row>
    <row r="41" spans="1:16">
      <c r="A41" s="145" t="s">
        <v>79</v>
      </c>
      <c r="B41" s="145"/>
      <c r="C41" s="144"/>
      <c r="D41" s="122" t="s">
        <v>80</v>
      </c>
      <c r="E41" s="117" t="s">
        <v>101</v>
      </c>
      <c r="F41" s="112">
        <f>F19</f>
        <v>85.350000000000009</v>
      </c>
      <c r="H41" s="112" t="s">
        <v>28</v>
      </c>
      <c r="J41" s="112">
        <f>F41</f>
        <v>85.350000000000009</v>
      </c>
      <c r="L41" s="142">
        <f>L19</f>
        <v>73.150000000000006</v>
      </c>
    </row>
    <row r="42" spans="1:16">
      <c r="D42" s="122"/>
    </row>
    <row r="43" spans="1:16">
      <c r="D43" s="122"/>
      <c r="F43" s="117" t="s">
        <v>72</v>
      </c>
      <c r="G43" s="117"/>
      <c r="H43" s="117" t="s">
        <v>26</v>
      </c>
      <c r="I43" s="117"/>
      <c r="J43" s="117" t="s">
        <v>75</v>
      </c>
      <c r="K43" s="117"/>
      <c r="L43" s="117" t="s">
        <v>76</v>
      </c>
      <c r="N43" s="117"/>
    </row>
    <row r="44" spans="1:16">
      <c r="D44" s="122"/>
      <c r="E44" s="120" t="s">
        <v>78</v>
      </c>
      <c r="F44" s="117" t="s">
        <v>74</v>
      </c>
      <c r="G44" s="117"/>
      <c r="H44" s="117"/>
      <c r="I44" s="117"/>
      <c r="J44" s="118"/>
      <c r="K44" s="117"/>
      <c r="L44" s="119"/>
      <c r="O44" s="117"/>
    </row>
    <row r="45" spans="1:16">
      <c r="D45" s="149">
        <v>127.2</v>
      </c>
      <c r="E45" s="120" t="s">
        <v>3</v>
      </c>
      <c r="F45" s="111">
        <f>F7+$D$45</f>
        <v>188.5</v>
      </c>
      <c r="H45" s="112">
        <f t="shared" ref="H45:H49" si="10">F45+$H$1</f>
        <v>193.25</v>
      </c>
      <c r="I45" s="112"/>
      <c r="J45" s="112">
        <f t="shared" ref="J45:J49" si="11">F45+$J$1</f>
        <v>200.15</v>
      </c>
      <c r="K45" s="150">
        <v>85.35</v>
      </c>
      <c r="L45" s="111">
        <f>L7+K$45</f>
        <v>136.25</v>
      </c>
      <c r="N45" s="112"/>
      <c r="P45" s="112"/>
    </row>
    <row r="46" spans="1:16">
      <c r="D46" s="122"/>
      <c r="E46" s="120" t="s">
        <v>95</v>
      </c>
      <c r="F46" s="111">
        <f>F8+$D$45</f>
        <v>191.85000000000002</v>
      </c>
      <c r="H46" s="112">
        <f t="shared" si="10"/>
        <v>196.60000000000002</v>
      </c>
      <c r="J46" s="112">
        <f t="shared" si="11"/>
        <v>203.50000000000003</v>
      </c>
      <c r="L46" s="111">
        <f>L8+K$45</f>
        <v>137.4</v>
      </c>
      <c r="N46" s="112"/>
      <c r="P46" s="112"/>
    </row>
    <row r="47" spans="1:16">
      <c r="D47" s="122"/>
      <c r="E47" s="120" t="s">
        <v>96</v>
      </c>
      <c r="F47" s="111">
        <f>F11+$D$45</f>
        <v>194.2</v>
      </c>
      <c r="H47" s="112">
        <f t="shared" si="10"/>
        <v>198.95</v>
      </c>
      <c r="J47" s="112">
        <f t="shared" si="11"/>
        <v>205.85</v>
      </c>
      <c r="L47" s="111">
        <f>L11+K$45</f>
        <v>140.80000000000001</v>
      </c>
      <c r="N47" s="112"/>
      <c r="P47" s="112"/>
    </row>
    <row r="48" spans="1:16">
      <c r="D48" s="122"/>
      <c r="E48" s="120" t="s">
        <v>10</v>
      </c>
      <c r="F48" s="111">
        <f>F14+$D$45</f>
        <v>196.5</v>
      </c>
      <c r="H48" s="112">
        <f t="shared" si="10"/>
        <v>201.25</v>
      </c>
      <c r="J48" s="112">
        <f t="shared" si="11"/>
        <v>208.15</v>
      </c>
      <c r="L48" s="111">
        <f>L14+K$45</f>
        <v>142.75</v>
      </c>
      <c r="N48" s="112"/>
      <c r="P48" s="112"/>
    </row>
    <row r="49" spans="2:16">
      <c r="D49" s="122"/>
      <c r="E49" s="120" t="s">
        <v>97</v>
      </c>
      <c r="F49" s="111">
        <f>F15+$D$45</f>
        <v>199.9</v>
      </c>
      <c r="H49" s="112">
        <f t="shared" si="10"/>
        <v>204.65</v>
      </c>
      <c r="J49" s="112">
        <f t="shared" si="11"/>
        <v>211.55</v>
      </c>
      <c r="L49" s="111">
        <f>L15+K$45</f>
        <v>147.55000000000001</v>
      </c>
      <c r="N49" s="112"/>
      <c r="P49" s="112"/>
    </row>
    <row r="50" spans="2:16">
      <c r="D50" s="122"/>
      <c r="E50" s="120" t="s">
        <v>30</v>
      </c>
      <c r="F50" s="111">
        <f>F17+$D$45</f>
        <v>227.8</v>
      </c>
      <c r="H50" s="112" t="s">
        <v>28</v>
      </c>
      <c r="J50" s="112" t="s">
        <v>28</v>
      </c>
      <c r="L50" s="111">
        <f>L17+K$45</f>
        <v>175.25</v>
      </c>
      <c r="N50" s="112"/>
      <c r="P50" s="112"/>
    </row>
    <row r="51" spans="2:16">
      <c r="B51" s="110">
        <f>133-D45</f>
        <v>5.7999999999999972</v>
      </c>
      <c r="D51" s="122" t="s">
        <v>80</v>
      </c>
      <c r="E51" s="117" t="s">
        <v>91</v>
      </c>
      <c r="F51" s="148">
        <v>13.8</v>
      </c>
      <c r="H51" s="112">
        <f>F51</f>
        <v>13.8</v>
      </c>
      <c r="J51" s="112">
        <f>F51</f>
        <v>13.8</v>
      </c>
      <c r="L51" s="148">
        <v>19.100000000000001</v>
      </c>
      <c r="N51" s="128">
        <f>98.5-K45</f>
        <v>13.150000000000006</v>
      </c>
    </row>
    <row r="52" spans="2:16">
      <c r="B52" s="110">
        <f>217-D45</f>
        <v>89.8</v>
      </c>
      <c r="D52" s="122" t="s">
        <v>80</v>
      </c>
      <c r="E52" s="117" t="s">
        <v>101</v>
      </c>
      <c r="F52" s="148">
        <v>102.80000000000001</v>
      </c>
      <c r="H52" s="112">
        <f>F52</f>
        <v>102.80000000000001</v>
      </c>
      <c r="J52" s="112">
        <f>F52</f>
        <v>102.80000000000001</v>
      </c>
      <c r="L52" s="148">
        <v>61.5</v>
      </c>
      <c r="N52" s="128">
        <f>138.5-K45</f>
        <v>53.150000000000006</v>
      </c>
    </row>
    <row r="54" spans="2:16">
      <c r="D54" s="117" t="s">
        <v>81</v>
      </c>
      <c r="E54" s="151">
        <v>79.5</v>
      </c>
      <c r="F54" s="117" t="s">
        <v>113</v>
      </c>
    </row>
    <row r="55" spans="2:16">
      <c r="L55" s="123"/>
    </row>
    <row r="59" spans="2:16" ht="14.5">
      <c r="D59" s="12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L68"/>
  <sheetViews>
    <sheetView view="pageBreakPreview" zoomScale="90" zoomScaleNormal="75" zoomScaleSheetLayoutView="90" workbookViewId="0">
      <selection activeCell="B5" sqref="B5"/>
    </sheetView>
  </sheetViews>
  <sheetFormatPr defaultColWidth="9.23046875" defaultRowHeight="15.5"/>
  <cols>
    <col min="1" max="1" width="8.23046875" style="64" customWidth="1"/>
    <col min="2" max="2" width="19.53515625" style="56" customWidth="1"/>
    <col min="3" max="3" width="15.69140625" style="64" customWidth="1"/>
    <col min="4" max="4" width="19" style="64" customWidth="1"/>
    <col min="5" max="5" width="18.84375" style="64" customWidth="1"/>
    <col min="6" max="6" width="13.53515625" style="64" customWidth="1"/>
    <col min="7" max="7" width="19.07421875" style="64" customWidth="1"/>
    <col min="8" max="239" width="10.84375" style="64" customWidth="1"/>
    <col min="240" max="16384" width="9.23046875" style="64"/>
  </cols>
  <sheetData>
    <row r="1" spans="1:12" ht="51.75" customHeight="1"/>
    <row r="2" spans="1:12" ht="26.25" customHeight="1">
      <c r="B2" s="206" t="s">
        <v>144</v>
      </c>
      <c r="C2" s="206"/>
      <c r="D2" s="206"/>
      <c r="E2" s="206"/>
    </row>
    <row r="3" spans="1:12" ht="25">
      <c r="A3" s="68"/>
      <c r="B3" s="207" t="s">
        <v>146</v>
      </c>
      <c r="C3" s="207"/>
      <c r="D3" s="207"/>
      <c r="E3" s="207"/>
    </row>
    <row r="4" spans="1:12" ht="23.25" customHeight="1">
      <c r="A4" s="6"/>
      <c r="B4" s="208" t="s">
        <v>134</v>
      </c>
      <c r="C4" s="208"/>
      <c r="D4" s="208"/>
      <c r="E4" s="208"/>
    </row>
    <row r="5" spans="1:12" ht="13.5" customHeight="1">
      <c r="B5" s="53"/>
      <c r="C5" s="53"/>
      <c r="D5" s="53"/>
      <c r="E5" s="53"/>
    </row>
    <row r="6" spans="1:12">
      <c r="B6" s="69"/>
      <c r="C6" s="69"/>
      <c r="D6" s="69"/>
    </row>
    <row r="7" spans="1:12">
      <c r="B7" s="69"/>
      <c r="C7" s="69"/>
      <c r="D7" s="69"/>
    </row>
    <row r="8" spans="1:12">
      <c r="B8" s="69"/>
      <c r="C8" s="69"/>
      <c r="D8" s="69"/>
    </row>
    <row r="9" spans="1:12">
      <c r="B9" s="69"/>
      <c r="C9" s="69"/>
      <c r="D9" s="69"/>
    </row>
    <row r="10" spans="1:12">
      <c r="B10" s="69"/>
      <c r="C10" s="69"/>
      <c r="D10" s="69"/>
    </row>
    <row r="11" spans="1:12" ht="18.75" customHeight="1">
      <c r="B11" s="69"/>
      <c r="C11" s="69"/>
      <c r="D11" s="69"/>
    </row>
    <row r="12" spans="1:12" ht="27.75" customHeight="1">
      <c r="B12" s="2" t="s">
        <v>27</v>
      </c>
      <c r="C12" s="74" t="s">
        <v>23</v>
      </c>
      <c r="D12" s="74" t="s">
        <v>13</v>
      </c>
      <c r="E12" s="74" t="s">
        <v>82</v>
      </c>
    </row>
    <row r="13" spans="1:12" s="60" customFormat="1">
      <c r="B13" s="53" t="s">
        <v>0</v>
      </c>
      <c r="C13" s="55">
        <f>Confidential!F4</f>
        <v>61.300000000000004</v>
      </c>
      <c r="D13" s="55">
        <f>C13</f>
        <v>61.300000000000004</v>
      </c>
      <c r="E13" s="55">
        <f>Confidential!L4</f>
        <v>50.900000000000006</v>
      </c>
      <c r="F13" s="106"/>
      <c r="G13" s="106"/>
      <c r="H13" s="106"/>
      <c r="I13" s="106"/>
      <c r="J13" s="106"/>
      <c r="K13" s="106"/>
      <c r="L13" s="106"/>
    </row>
    <row r="14" spans="1:12" s="60" customFormat="1">
      <c r="B14" s="53" t="s">
        <v>1</v>
      </c>
      <c r="C14" s="55">
        <f>Confidential!F5</f>
        <v>61.300000000000004</v>
      </c>
      <c r="D14" s="55">
        <f t="shared" ref="D14:D28" si="0">C14</f>
        <v>61.300000000000004</v>
      </c>
      <c r="E14" s="55">
        <f>Confidential!L5</f>
        <v>50.900000000000006</v>
      </c>
      <c r="F14" s="106"/>
      <c r="G14" s="106"/>
      <c r="H14" s="106"/>
      <c r="I14" s="106"/>
      <c r="J14" s="106"/>
      <c r="K14" s="106"/>
      <c r="L14" s="106"/>
    </row>
    <row r="15" spans="1:12" s="60" customFormat="1">
      <c r="B15" s="53" t="s">
        <v>2</v>
      </c>
      <c r="C15" s="55">
        <f>Confidential!F6</f>
        <v>61.300000000000004</v>
      </c>
      <c r="D15" s="55">
        <f t="shared" si="0"/>
        <v>61.300000000000004</v>
      </c>
      <c r="E15" s="55">
        <f>Confidential!L6</f>
        <v>50.900000000000006</v>
      </c>
      <c r="F15" s="106"/>
      <c r="G15" s="106"/>
      <c r="H15" s="106"/>
      <c r="I15" s="106"/>
      <c r="J15" s="106"/>
      <c r="K15" s="106"/>
      <c r="L15" s="106"/>
    </row>
    <row r="16" spans="1:12" s="60" customFormat="1">
      <c r="B16" s="53" t="s">
        <v>3</v>
      </c>
      <c r="C16" s="55">
        <f>Confidential!F7</f>
        <v>61.300000000000004</v>
      </c>
      <c r="D16" s="55">
        <f t="shared" si="0"/>
        <v>61.300000000000004</v>
      </c>
      <c r="E16" s="55">
        <f>Confidential!L7</f>
        <v>50.900000000000006</v>
      </c>
      <c r="F16" s="106"/>
      <c r="G16" s="106"/>
      <c r="H16" s="106"/>
      <c r="I16" s="106"/>
      <c r="J16" s="106"/>
      <c r="K16" s="106"/>
      <c r="L16" s="106"/>
    </row>
    <row r="17" spans="1:12" s="60" customFormat="1" ht="12" customHeight="1">
      <c r="B17" s="53"/>
      <c r="C17" s="55"/>
      <c r="D17" s="55"/>
      <c r="E17" s="55"/>
      <c r="F17" s="106"/>
      <c r="G17" s="106"/>
      <c r="H17" s="106"/>
      <c r="I17" s="106"/>
      <c r="J17" s="106"/>
      <c r="K17" s="106"/>
      <c r="L17" s="106"/>
    </row>
    <row r="18" spans="1:12" s="60" customFormat="1">
      <c r="B18" s="53" t="s">
        <v>4</v>
      </c>
      <c r="C18" s="55">
        <f>Confidential!F8</f>
        <v>64.650000000000006</v>
      </c>
      <c r="D18" s="55">
        <f t="shared" si="0"/>
        <v>64.650000000000006</v>
      </c>
      <c r="E18" s="55">
        <f>Confidential!L8</f>
        <v>52.050000000000004</v>
      </c>
      <c r="F18" s="106"/>
      <c r="G18" s="106"/>
      <c r="H18" s="106"/>
      <c r="I18" s="106"/>
      <c r="J18" s="106"/>
      <c r="K18" s="106"/>
      <c r="L18" s="106"/>
    </row>
    <row r="19" spans="1:12" s="60" customFormat="1">
      <c r="B19" s="53" t="s">
        <v>5</v>
      </c>
      <c r="C19" s="55">
        <f>Confidential!F9</f>
        <v>64.650000000000006</v>
      </c>
      <c r="D19" s="55">
        <f t="shared" si="0"/>
        <v>64.650000000000006</v>
      </c>
      <c r="E19" s="55">
        <f>Confidential!L9</f>
        <v>52.050000000000004</v>
      </c>
      <c r="F19" s="106"/>
      <c r="G19" s="106"/>
      <c r="H19" s="106"/>
      <c r="I19" s="106"/>
      <c r="J19" s="106"/>
      <c r="K19" s="106"/>
      <c r="L19" s="106"/>
    </row>
    <row r="20" spans="1:12" s="60" customFormat="1">
      <c r="B20" s="53" t="s">
        <v>6</v>
      </c>
      <c r="C20" s="55">
        <f>Confidential!F10</f>
        <v>64.650000000000006</v>
      </c>
      <c r="D20" s="55">
        <f t="shared" si="0"/>
        <v>64.650000000000006</v>
      </c>
      <c r="E20" s="55">
        <f>Confidential!L10</f>
        <v>52.050000000000004</v>
      </c>
      <c r="F20" s="106"/>
      <c r="G20" s="106"/>
      <c r="H20" s="106"/>
      <c r="I20" s="106"/>
      <c r="J20" s="106"/>
      <c r="K20" s="106"/>
      <c r="L20" s="106"/>
    </row>
    <row r="21" spans="1:12" s="60" customFormat="1" ht="12" customHeight="1">
      <c r="B21" s="53"/>
      <c r="C21" s="55"/>
      <c r="D21" s="55"/>
      <c r="E21" s="55"/>
      <c r="F21" s="106"/>
      <c r="G21" s="106"/>
      <c r="H21" s="106"/>
      <c r="I21" s="106"/>
      <c r="J21" s="106"/>
      <c r="K21" s="106"/>
      <c r="L21" s="106"/>
    </row>
    <row r="22" spans="1:12" s="60" customFormat="1">
      <c r="B22" s="53" t="s">
        <v>7</v>
      </c>
      <c r="C22" s="55">
        <f>Confidential!F11</f>
        <v>67</v>
      </c>
      <c r="D22" s="55">
        <f t="shared" si="0"/>
        <v>67</v>
      </c>
      <c r="E22" s="55">
        <f>Confidential!L11</f>
        <v>55.45</v>
      </c>
      <c r="F22" s="106"/>
      <c r="G22" s="106"/>
      <c r="H22" s="106"/>
      <c r="I22" s="106"/>
      <c r="J22" s="106"/>
      <c r="K22" s="106"/>
      <c r="L22" s="106"/>
    </row>
    <row r="23" spans="1:12" s="60" customFormat="1">
      <c r="B23" s="53" t="s">
        <v>8</v>
      </c>
      <c r="C23" s="55">
        <f>Confidential!F12</f>
        <v>67</v>
      </c>
      <c r="D23" s="55">
        <f t="shared" si="0"/>
        <v>67</v>
      </c>
      <c r="E23" s="55">
        <f>Confidential!L12</f>
        <v>55.45</v>
      </c>
      <c r="F23" s="106"/>
      <c r="G23" s="106"/>
      <c r="H23" s="106"/>
      <c r="I23" s="106"/>
      <c r="J23" s="106"/>
      <c r="K23" s="106"/>
      <c r="L23" s="106"/>
    </row>
    <row r="24" spans="1:12" s="60" customFormat="1">
      <c r="B24" s="53" t="s">
        <v>9</v>
      </c>
      <c r="C24" s="55">
        <f>Confidential!F13</f>
        <v>67</v>
      </c>
      <c r="D24" s="55">
        <f t="shared" si="0"/>
        <v>67</v>
      </c>
      <c r="E24" s="55">
        <f>Confidential!L13</f>
        <v>55.45</v>
      </c>
      <c r="F24" s="106"/>
      <c r="G24" s="106"/>
      <c r="H24" s="106"/>
      <c r="I24" s="106"/>
      <c r="J24" s="106"/>
      <c r="K24" s="106"/>
      <c r="L24" s="106"/>
    </row>
    <row r="25" spans="1:12" s="60" customFormat="1" ht="12" customHeight="1">
      <c r="B25" s="53"/>
      <c r="C25" s="55"/>
      <c r="D25" s="55"/>
      <c r="E25" s="55"/>
      <c r="F25" s="106"/>
      <c r="G25" s="106"/>
      <c r="H25" s="106"/>
      <c r="I25" s="106"/>
      <c r="J25" s="106"/>
      <c r="K25" s="106"/>
      <c r="L25" s="106"/>
    </row>
    <row r="26" spans="1:12" s="60" customFormat="1">
      <c r="B26" s="53" t="s">
        <v>10</v>
      </c>
      <c r="C26" s="55">
        <f>Confidential!F14</f>
        <v>69.3</v>
      </c>
      <c r="D26" s="55">
        <f t="shared" si="0"/>
        <v>69.3</v>
      </c>
      <c r="E26" s="55">
        <f>Confidential!L14</f>
        <v>57.400000000000006</v>
      </c>
      <c r="F26" s="106"/>
      <c r="G26" s="106"/>
      <c r="H26" s="106"/>
      <c r="I26" s="106"/>
      <c r="J26" s="106"/>
      <c r="K26" s="106"/>
      <c r="L26" s="106"/>
    </row>
    <row r="27" spans="1:12" s="60" customFormat="1">
      <c r="B27" s="53" t="s">
        <v>11</v>
      </c>
      <c r="C27" s="55">
        <f>Confidential!F15</f>
        <v>72.7</v>
      </c>
      <c r="D27" s="55">
        <f t="shared" si="0"/>
        <v>72.7</v>
      </c>
      <c r="E27" s="55">
        <f>Confidential!L15</f>
        <v>62.2</v>
      </c>
      <c r="F27" s="106"/>
      <c r="G27" s="106"/>
      <c r="H27" s="106"/>
      <c r="I27" s="106"/>
      <c r="J27" s="106"/>
      <c r="K27" s="106"/>
      <c r="L27" s="106"/>
    </row>
    <row r="28" spans="1:12" s="60" customFormat="1">
      <c r="B28" s="53" t="s">
        <v>12</v>
      </c>
      <c r="C28" s="55">
        <f>Confidential!F16</f>
        <v>72.7</v>
      </c>
      <c r="D28" s="55">
        <f t="shared" si="0"/>
        <v>72.7</v>
      </c>
      <c r="E28" s="55">
        <f>Confidential!L16</f>
        <v>62.2</v>
      </c>
      <c r="F28" s="106"/>
      <c r="G28" s="106"/>
      <c r="H28" s="106"/>
      <c r="I28" s="106"/>
      <c r="J28" s="106"/>
      <c r="K28" s="106"/>
      <c r="L28" s="106"/>
    </row>
    <row r="29" spans="1:12" s="60" customFormat="1">
      <c r="B29" s="53" t="s">
        <v>30</v>
      </c>
      <c r="C29" s="55" t="s">
        <v>28</v>
      </c>
      <c r="D29" s="55" t="s">
        <v>28</v>
      </c>
      <c r="E29" s="55">
        <f>Confidential!L17</f>
        <v>89.9</v>
      </c>
      <c r="F29" s="106"/>
      <c r="G29" s="106"/>
      <c r="H29" s="106"/>
      <c r="I29" s="106"/>
      <c r="J29" s="106"/>
      <c r="K29" s="106"/>
    </row>
    <row r="30" spans="1:12" s="60" customFormat="1" ht="18" customHeight="1">
      <c r="A30" s="70" t="s">
        <v>32</v>
      </c>
      <c r="B30" s="129" t="s">
        <v>103</v>
      </c>
      <c r="C30" s="131">
        <f>Confidential!F18</f>
        <v>30.75</v>
      </c>
      <c r="D30" s="131" t="s">
        <v>28</v>
      </c>
      <c r="E30" s="131">
        <f>Confidential!L18</f>
        <v>30.75</v>
      </c>
    </row>
    <row r="31" spans="1:12" s="60" customFormat="1">
      <c r="A31" s="70" t="s">
        <v>32</v>
      </c>
      <c r="B31" s="129" t="s">
        <v>104</v>
      </c>
      <c r="C31" s="131">
        <f>Confidential!F19</f>
        <v>85.350000000000009</v>
      </c>
      <c r="D31" s="131" t="s">
        <v>28</v>
      </c>
      <c r="E31" s="131">
        <f>Confidential!L19</f>
        <v>73.150000000000006</v>
      </c>
    </row>
    <row r="32" spans="1:12" s="60" customFormat="1">
      <c r="A32" s="70" t="s">
        <v>32</v>
      </c>
      <c r="B32" s="129" t="s">
        <v>105</v>
      </c>
      <c r="C32" s="131">
        <f>Confidential!F20</f>
        <v>88</v>
      </c>
      <c r="D32" s="131">
        <f>C32</f>
        <v>88</v>
      </c>
      <c r="E32" s="131">
        <f>Confidential!L20</f>
        <v>65.2</v>
      </c>
    </row>
    <row r="33" spans="1:5" s="60" customFormat="1">
      <c r="A33" s="70" t="s">
        <v>32</v>
      </c>
      <c r="B33" s="129" t="s">
        <v>106</v>
      </c>
      <c r="C33" s="131">
        <f>Confidential!F21</f>
        <v>104.4</v>
      </c>
      <c r="D33" s="131" t="s">
        <v>28</v>
      </c>
      <c r="E33" s="131">
        <f>Confidential!L21</f>
        <v>84.25</v>
      </c>
    </row>
    <row r="34" spans="1:5" s="60" customFormat="1">
      <c r="A34" s="70" t="s">
        <v>32</v>
      </c>
      <c r="B34" s="129" t="s">
        <v>107</v>
      </c>
      <c r="C34" s="131">
        <f>Confidential!F22</f>
        <v>196.10000000000002</v>
      </c>
      <c r="D34" s="131" t="s">
        <v>28</v>
      </c>
      <c r="E34" s="131">
        <f>Confidential!L22</f>
        <v>131.45000000000002</v>
      </c>
    </row>
    <row r="35" spans="1:5" s="60" customFormat="1">
      <c r="A35" s="70" t="s">
        <v>32</v>
      </c>
      <c r="B35" s="129" t="s">
        <v>108</v>
      </c>
      <c r="C35" s="131">
        <f>Confidential!F23</f>
        <v>31.8</v>
      </c>
      <c r="D35" s="131">
        <f>C35</f>
        <v>31.8</v>
      </c>
      <c r="E35" s="131">
        <f>Confidential!L23</f>
        <v>30.75</v>
      </c>
    </row>
    <row r="36" spans="1:5" s="60" customFormat="1">
      <c r="A36" s="70" t="s">
        <v>32</v>
      </c>
      <c r="B36" s="129" t="s">
        <v>109</v>
      </c>
      <c r="C36" s="131">
        <f>Confidential!F24</f>
        <v>36.550000000000004</v>
      </c>
      <c r="D36" s="131" t="s">
        <v>28</v>
      </c>
      <c r="E36" s="131">
        <f>Confidential!L24</f>
        <v>36.550000000000004</v>
      </c>
    </row>
    <row r="37" spans="1:5" s="60" customFormat="1">
      <c r="A37" s="129" t="s">
        <v>111</v>
      </c>
      <c r="B37" s="129"/>
      <c r="C37" s="131">
        <f>Confidential!F25</f>
        <v>65.7</v>
      </c>
      <c r="D37" s="131">
        <f>C37</f>
        <v>65.7</v>
      </c>
      <c r="E37" s="131">
        <f>C37</f>
        <v>65.7</v>
      </c>
    </row>
    <row r="38" spans="1:5" s="60" customFormat="1">
      <c r="A38" s="129" t="s">
        <v>112</v>
      </c>
      <c r="B38" s="129"/>
      <c r="C38" s="131">
        <f>Confidential!F26</f>
        <v>79.5</v>
      </c>
      <c r="D38" s="131">
        <f>C38</f>
        <v>79.5</v>
      </c>
      <c r="E38" s="131">
        <f>C38</f>
        <v>79.5</v>
      </c>
    </row>
    <row r="39" spans="1:5" s="60" customFormat="1">
      <c r="A39" s="70"/>
      <c r="B39" s="57"/>
      <c r="C39" s="55"/>
      <c r="D39" s="55"/>
      <c r="E39" s="55"/>
    </row>
    <row r="40" spans="1:5" s="60" customFormat="1" ht="28.5" customHeight="1">
      <c r="B40" s="2" t="s">
        <v>133</v>
      </c>
      <c r="C40" s="74" t="s">
        <v>23</v>
      </c>
      <c r="D40" s="74" t="s">
        <v>13</v>
      </c>
      <c r="E40" s="74" t="s">
        <v>82</v>
      </c>
    </row>
    <row r="41" spans="1:5" s="60" customFormat="1">
      <c r="B41" s="53" t="s">
        <v>6</v>
      </c>
      <c r="C41" s="55">
        <f>Confidential!F33</f>
        <v>78.45</v>
      </c>
      <c r="D41" s="55">
        <f>C41</f>
        <v>78.45</v>
      </c>
      <c r="E41" s="55">
        <f>Confidential!L33</f>
        <v>71.3</v>
      </c>
    </row>
    <row r="42" spans="1:5" s="60" customFormat="1">
      <c r="B42" s="53" t="s">
        <v>7</v>
      </c>
      <c r="C42" s="55">
        <f>Confidential!F34</f>
        <v>86.45</v>
      </c>
      <c r="D42" s="55">
        <f t="shared" ref="D42:D48" si="1">C42</f>
        <v>86.45</v>
      </c>
      <c r="E42" s="55">
        <f>Confidential!L34</f>
        <v>77.2</v>
      </c>
    </row>
    <row r="43" spans="1:5" s="60" customFormat="1">
      <c r="B43" s="53" t="s">
        <v>8</v>
      </c>
      <c r="C43" s="55">
        <f>Confidential!F35</f>
        <v>86.45</v>
      </c>
      <c r="D43" s="55">
        <f t="shared" si="1"/>
        <v>86.45</v>
      </c>
      <c r="E43" s="55">
        <f>Confidential!L35</f>
        <v>77.2</v>
      </c>
    </row>
    <row r="44" spans="1:5" s="60" customFormat="1">
      <c r="B44" s="53" t="s">
        <v>9</v>
      </c>
      <c r="C44" s="55">
        <f>Confidential!F36</f>
        <v>86.45</v>
      </c>
      <c r="D44" s="55">
        <f t="shared" si="1"/>
        <v>86.45</v>
      </c>
      <c r="E44" s="55">
        <f>Confidential!L36</f>
        <v>77.2</v>
      </c>
    </row>
    <row r="45" spans="1:5" s="60" customFormat="1" ht="12" customHeight="1">
      <c r="B45" s="53"/>
      <c r="C45" s="55"/>
      <c r="D45" s="55"/>
      <c r="E45" s="55"/>
    </row>
    <row r="46" spans="1:5" s="60" customFormat="1">
      <c r="B46" s="53" t="s">
        <v>10</v>
      </c>
      <c r="C46" s="55">
        <f>Confidential!F37</f>
        <v>91.5</v>
      </c>
      <c r="D46" s="55">
        <f t="shared" si="1"/>
        <v>91.5</v>
      </c>
      <c r="E46" s="55">
        <f>Confidential!L37</f>
        <v>82.65</v>
      </c>
    </row>
    <row r="47" spans="1:5" s="60" customFormat="1">
      <c r="B47" s="53" t="s">
        <v>11</v>
      </c>
      <c r="C47" s="55">
        <f>Confidential!F38</f>
        <v>91.5</v>
      </c>
      <c r="D47" s="55">
        <f t="shared" si="1"/>
        <v>91.5</v>
      </c>
      <c r="E47" s="55">
        <f>Confidential!L38</f>
        <v>82.65</v>
      </c>
    </row>
    <row r="48" spans="1:5" s="60" customFormat="1">
      <c r="B48" s="53" t="s">
        <v>12</v>
      </c>
      <c r="C48" s="55">
        <f>Confidential!F39</f>
        <v>91.5</v>
      </c>
      <c r="D48" s="55">
        <f t="shared" si="1"/>
        <v>91.5</v>
      </c>
      <c r="E48" s="55">
        <f>Confidential!L39</f>
        <v>82.65</v>
      </c>
    </row>
    <row r="49" spans="1:7" s="60" customFormat="1" ht="18" customHeight="1">
      <c r="A49" s="70" t="s">
        <v>32</v>
      </c>
      <c r="B49" s="57" t="s">
        <v>91</v>
      </c>
      <c r="C49" s="131">
        <f>Confidential!F40</f>
        <v>30.75</v>
      </c>
      <c r="D49" s="131" t="s">
        <v>28</v>
      </c>
      <c r="E49" s="131">
        <f>Confidential!L40</f>
        <v>30.75</v>
      </c>
    </row>
    <row r="50" spans="1:7" s="60" customFormat="1">
      <c r="A50" s="70" t="s">
        <v>32</v>
      </c>
      <c r="B50" s="57" t="s">
        <v>92</v>
      </c>
      <c r="C50" s="131">
        <f>Confidential!F41</f>
        <v>85.350000000000009</v>
      </c>
      <c r="D50" s="131" t="s">
        <v>28</v>
      </c>
      <c r="E50" s="131">
        <f>Confidential!L41</f>
        <v>73.150000000000006</v>
      </c>
    </row>
    <row r="51" spans="1:7" s="60" customFormat="1">
      <c r="A51" s="70"/>
      <c r="B51" s="57"/>
      <c r="C51" s="58"/>
      <c r="D51" s="58"/>
    </row>
    <row r="52" spans="1:7" s="60" customFormat="1" ht="47.25" customHeight="1">
      <c r="B52" s="2" t="s">
        <v>139</v>
      </c>
      <c r="C52" s="2" t="s">
        <v>23</v>
      </c>
      <c r="D52" s="74" t="s">
        <v>13</v>
      </c>
      <c r="E52" s="74" t="s">
        <v>82</v>
      </c>
    </row>
    <row r="53" spans="1:7" s="60" customFormat="1" ht="15.75" customHeight="1">
      <c r="B53" s="5" t="s">
        <v>3</v>
      </c>
      <c r="C53" s="55">
        <f>Confidential!F45</f>
        <v>188.5</v>
      </c>
      <c r="D53" s="55">
        <f>C53</f>
        <v>188.5</v>
      </c>
      <c r="E53" s="3">
        <f>Confidential!L45</f>
        <v>136.25</v>
      </c>
    </row>
    <row r="54" spans="1:7" s="60" customFormat="1">
      <c r="B54" s="53" t="s">
        <v>95</v>
      </c>
      <c r="C54" s="55">
        <f>Confidential!F46</f>
        <v>191.85000000000002</v>
      </c>
      <c r="D54" s="55">
        <f>C54</f>
        <v>191.85000000000002</v>
      </c>
      <c r="E54" s="3">
        <f>Confidential!L46</f>
        <v>137.4</v>
      </c>
      <c r="G54" s="108"/>
    </row>
    <row r="55" spans="1:7" s="60" customFormat="1">
      <c r="B55" s="53" t="s">
        <v>96</v>
      </c>
      <c r="C55" s="55">
        <f>Confidential!F47</f>
        <v>194.2</v>
      </c>
      <c r="D55" s="55">
        <f>C55</f>
        <v>194.2</v>
      </c>
      <c r="E55" s="3">
        <f>Confidential!L47</f>
        <v>140.80000000000001</v>
      </c>
      <c r="G55" s="108"/>
    </row>
    <row r="56" spans="1:7" s="60" customFormat="1">
      <c r="B56" s="53" t="s">
        <v>10</v>
      </c>
      <c r="C56" s="55">
        <f>Confidential!F48</f>
        <v>196.5</v>
      </c>
      <c r="D56" s="55">
        <f>C56</f>
        <v>196.5</v>
      </c>
      <c r="E56" s="3">
        <f>Confidential!L48</f>
        <v>142.75</v>
      </c>
      <c r="G56" s="108"/>
    </row>
    <row r="57" spans="1:7">
      <c r="B57" s="53" t="s">
        <v>97</v>
      </c>
      <c r="C57" s="55">
        <f>Confidential!F49</f>
        <v>199.9</v>
      </c>
      <c r="D57" s="55">
        <f>C57</f>
        <v>199.9</v>
      </c>
      <c r="E57" s="3">
        <f>Confidential!L49</f>
        <v>147.55000000000001</v>
      </c>
      <c r="G57" s="109"/>
    </row>
    <row r="58" spans="1:7" s="60" customFormat="1">
      <c r="B58" s="53" t="s">
        <v>30</v>
      </c>
      <c r="C58" s="55" t="s">
        <v>28</v>
      </c>
      <c r="D58" s="55" t="s">
        <v>28</v>
      </c>
      <c r="E58" s="3">
        <f>Confidential!L50</f>
        <v>175.25</v>
      </c>
      <c r="G58" s="108"/>
    </row>
    <row r="59" spans="1:7" ht="18" customHeight="1">
      <c r="A59" s="70" t="s">
        <v>32</v>
      </c>
      <c r="B59" s="57" t="s">
        <v>91</v>
      </c>
      <c r="C59" s="131">
        <f>Confidential!F51</f>
        <v>13.8</v>
      </c>
      <c r="D59" s="131" t="s">
        <v>28</v>
      </c>
      <c r="E59" s="132">
        <f>Confidential!L51</f>
        <v>19.100000000000001</v>
      </c>
    </row>
    <row r="60" spans="1:7">
      <c r="A60" s="70" t="s">
        <v>32</v>
      </c>
      <c r="B60" s="57" t="s">
        <v>92</v>
      </c>
      <c r="C60" s="131">
        <f>Confidential!F52</f>
        <v>102.80000000000001</v>
      </c>
      <c r="D60" s="131" t="s">
        <v>28</v>
      </c>
      <c r="E60" s="132">
        <f>Confidential!L52</f>
        <v>61.5</v>
      </c>
    </row>
    <row r="61" spans="1:7">
      <c r="A61" s="70" t="s">
        <v>32</v>
      </c>
      <c r="B61" s="57" t="s">
        <v>90</v>
      </c>
      <c r="C61" s="55"/>
      <c r="D61" s="55"/>
      <c r="E61" s="3"/>
    </row>
    <row r="62" spans="1:7">
      <c r="A62" s="70"/>
      <c r="B62" s="57"/>
      <c r="C62" s="55"/>
      <c r="D62" s="55"/>
      <c r="E62" s="3"/>
    </row>
    <row r="63" spans="1:7">
      <c r="B63" s="59" t="str">
        <f>Confidential!D54&amp;"$"&amp;Confidential!E54&amp;".00"&amp;Confidential!F54</f>
        <v>Non standard: $79.5.00,  20 or more = $0.00 (same size/design)</v>
      </c>
      <c r="C63" s="55"/>
      <c r="D63" s="55"/>
      <c r="E63" s="3"/>
    </row>
    <row r="64" spans="1:7">
      <c r="B64" s="59" t="s">
        <v>93</v>
      </c>
      <c r="C64" s="60"/>
      <c r="D64" s="60"/>
      <c r="E64" s="3"/>
    </row>
    <row r="65" spans="2:6">
      <c r="B65" s="59" t="s">
        <v>145</v>
      </c>
      <c r="C65" s="60"/>
      <c r="D65" s="60"/>
      <c r="E65" s="3"/>
    </row>
    <row r="66" spans="2:6">
      <c r="B66" s="59" t="s">
        <v>94</v>
      </c>
      <c r="C66" s="60"/>
      <c r="D66" s="60"/>
      <c r="E66" s="60"/>
    </row>
    <row r="67" spans="2:6" ht="36" customHeight="1">
      <c r="B67" s="209" t="s">
        <v>138</v>
      </c>
      <c r="C67" s="209"/>
      <c r="D67" s="209"/>
      <c r="E67" s="209"/>
      <c r="F67" s="209"/>
    </row>
    <row r="68" spans="2:6">
      <c r="B68" s="59"/>
    </row>
  </sheetData>
  <mergeCells count="4">
    <mergeCell ref="B2:E2"/>
    <mergeCell ref="B3:E3"/>
    <mergeCell ref="B4:E4"/>
    <mergeCell ref="B67:F67"/>
  </mergeCells>
  <phoneticPr fontId="0" type="noConversion"/>
  <conditionalFormatting sqref="C13:D28 C41:E48 D53:D57 C53:C60">
    <cfRule type="expression" dxfId="19" priority="3" stopIfTrue="1">
      <formula>#REF!="s"</formula>
    </cfRule>
  </conditionalFormatting>
  <conditionalFormatting sqref="E13:E29">
    <cfRule type="expression" dxfId="18" priority="11" stopIfTrue="1">
      <formula>#REF!="s"</formula>
    </cfRule>
  </conditionalFormatting>
  <conditionalFormatting sqref="E53:E60">
    <cfRule type="expression" dxfId="17" priority="2" stopIfTrue="1">
      <formula>#REF!="s"</formula>
    </cfRule>
  </conditionalFormatting>
  <printOptions horizontalCentered="1"/>
  <pageMargins left="0.23622047244094499" right="0.23622047244094499" top="0.55118110236220497" bottom="0" header="0.31496062992126" footer="0.118110236220472"/>
  <pageSetup scale="65" orientation="portrait" r:id="rId1"/>
  <headerFooter>
    <oddFooter>&amp;L&amp;P&amp;RApril 4,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G74"/>
  <sheetViews>
    <sheetView view="pageBreakPreview" zoomScale="90" zoomScaleNormal="75" zoomScaleSheetLayoutView="90" workbookViewId="0">
      <selection activeCell="B3" sqref="B3:E3"/>
    </sheetView>
  </sheetViews>
  <sheetFormatPr defaultColWidth="9.23046875" defaultRowHeight="15.5"/>
  <cols>
    <col min="1" max="1" width="7.23046875" style="64" customWidth="1"/>
    <col min="2" max="2" width="19.4609375" style="56" customWidth="1"/>
    <col min="3" max="3" width="11.69140625" style="64" customWidth="1"/>
    <col min="4" max="4" width="11.23046875" style="64" customWidth="1"/>
    <col min="5" max="5" width="11.69140625" style="64" customWidth="1"/>
    <col min="6" max="238" width="10.84375" style="64" customWidth="1"/>
    <col min="239" max="16384" width="9.23046875" style="64"/>
  </cols>
  <sheetData>
    <row r="1" spans="1:6" ht="54" customHeight="1"/>
    <row r="2" spans="1:6" ht="26.25" customHeight="1">
      <c r="B2" s="206" t="str">
        <f>Molded!B2:E2</f>
        <v>NET PRICE LIST (April 4, 2025)</v>
      </c>
      <c r="C2" s="206"/>
      <c r="D2" s="206"/>
      <c r="E2" s="206"/>
    </row>
    <row r="3" spans="1:6" ht="33.75" customHeight="1">
      <c r="A3" s="71"/>
      <c r="B3" s="207" t="str">
        <f>Molded!B3:E3</f>
        <v>Customer Name &amp; Number</v>
      </c>
      <c r="C3" s="207"/>
      <c r="D3" s="207"/>
      <c r="E3" s="207"/>
    </row>
    <row r="4" spans="1:6" ht="23.25" customHeight="1">
      <c r="A4" s="72"/>
      <c r="B4" s="208" t="str">
        <f>Molded!B4:E4</f>
        <v>AA-Dealer Central</v>
      </c>
      <c r="C4" s="208"/>
      <c r="D4" s="208"/>
      <c r="E4" s="208"/>
    </row>
    <row r="5" spans="1:6">
      <c r="C5" s="1"/>
      <c r="D5" s="61"/>
      <c r="E5" s="1"/>
      <c r="F5" s="61"/>
    </row>
    <row r="6" spans="1:6">
      <c r="B6" s="53"/>
      <c r="C6" s="61"/>
      <c r="D6" s="61"/>
      <c r="E6" s="61"/>
      <c r="F6" s="61"/>
    </row>
    <row r="7" spans="1:6">
      <c r="C7" s="61"/>
      <c r="D7" s="61"/>
      <c r="E7" s="61"/>
      <c r="F7" s="61"/>
    </row>
    <row r="8" spans="1:6">
      <c r="C8" s="61"/>
      <c r="D8" s="61"/>
      <c r="E8" s="61"/>
      <c r="F8" s="61"/>
    </row>
    <row r="9" spans="1:6">
      <c r="C9" s="61"/>
      <c r="D9" s="61"/>
      <c r="E9" s="61"/>
      <c r="F9" s="61"/>
    </row>
    <row r="10" spans="1:6">
      <c r="C10" s="61"/>
      <c r="D10" s="61"/>
      <c r="E10" s="61"/>
      <c r="F10" s="61"/>
    </row>
    <row r="11" spans="1:6">
      <c r="C11" s="61"/>
      <c r="D11" s="61"/>
      <c r="E11" s="61"/>
      <c r="F11" s="61"/>
    </row>
    <row r="12" spans="1:6" ht="26" customHeight="1">
      <c r="B12" s="54" t="s">
        <v>27</v>
      </c>
      <c r="C12" s="54" t="s">
        <v>29</v>
      </c>
      <c r="D12" s="54" t="s">
        <v>14</v>
      </c>
      <c r="E12" s="54" t="s">
        <v>21</v>
      </c>
    </row>
    <row r="13" spans="1:6">
      <c r="B13" s="53" t="s">
        <v>0</v>
      </c>
      <c r="C13" s="62">
        <f>Molded!C13</f>
        <v>61.300000000000004</v>
      </c>
      <c r="D13" s="62">
        <f>Molded!C13</f>
        <v>61.300000000000004</v>
      </c>
      <c r="E13" s="62">
        <f>Molded!C13</f>
        <v>61.300000000000004</v>
      </c>
    </row>
    <row r="14" spans="1:6">
      <c r="B14" s="53" t="s">
        <v>1</v>
      </c>
      <c r="C14" s="62">
        <f>Molded!C14</f>
        <v>61.300000000000004</v>
      </c>
      <c r="D14" s="62">
        <f>Molded!C14</f>
        <v>61.300000000000004</v>
      </c>
      <c r="E14" s="62">
        <f>Molded!C14</f>
        <v>61.300000000000004</v>
      </c>
    </row>
    <row r="15" spans="1:6">
      <c r="B15" s="53" t="s">
        <v>2</v>
      </c>
      <c r="C15" s="62">
        <f>Molded!C15</f>
        <v>61.300000000000004</v>
      </c>
      <c r="D15" s="62">
        <f>Molded!C15</f>
        <v>61.300000000000004</v>
      </c>
      <c r="E15" s="62">
        <f>Molded!C15</f>
        <v>61.300000000000004</v>
      </c>
    </row>
    <row r="16" spans="1:6">
      <c r="B16" s="53" t="s">
        <v>3</v>
      </c>
      <c r="C16" s="62">
        <f>Molded!C16</f>
        <v>61.300000000000004</v>
      </c>
      <c r="D16" s="62">
        <f>Molded!C16</f>
        <v>61.300000000000004</v>
      </c>
      <c r="E16" s="62">
        <f>Molded!C16</f>
        <v>61.300000000000004</v>
      </c>
    </row>
    <row r="17" spans="1:7">
      <c r="B17" s="53"/>
      <c r="C17" s="62"/>
      <c r="D17" s="62"/>
      <c r="E17" s="62"/>
    </row>
    <row r="18" spans="1:7">
      <c r="B18" s="53" t="s">
        <v>4</v>
      </c>
      <c r="C18" s="62">
        <f>Molded!C18</f>
        <v>64.650000000000006</v>
      </c>
      <c r="D18" s="62">
        <f>Molded!C18</f>
        <v>64.650000000000006</v>
      </c>
      <c r="E18" s="62">
        <f>Molded!C18</f>
        <v>64.650000000000006</v>
      </c>
    </row>
    <row r="19" spans="1:7">
      <c r="B19" s="53" t="s">
        <v>5</v>
      </c>
      <c r="C19" s="62">
        <f>Molded!C19</f>
        <v>64.650000000000006</v>
      </c>
      <c r="D19" s="62">
        <f>Molded!C19</f>
        <v>64.650000000000006</v>
      </c>
      <c r="E19" s="62">
        <f>Molded!C19</f>
        <v>64.650000000000006</v>
      </c>
    </row>
    <row r="20" spans="1:7">
      <c r="B20" s="53" t="s">
        <v>6</v>
      </c>
      <c r="C20" s="62">
        <f>Molded!C20</f>
        <v>64.650000000000006</v>
      </c>
      <c r="D20" s="62">
        <f>Molded!C20</f>
        <v>64.650000000000006</v>
      </c>
      <c r="E20" s="62">
        <f>Molded!C20</f>
        <v>64.650000000000006</v>
      </c>
    </row>
    <row r="21" spans="1:7">
      <c r="B21" s="53"/>
      <c r="C21" s="62"/>
      <c r="D21" s="62"/>
      <c r="E21" s="62"/>
    </row>
    <row r="22" spans="1:7">
      <c r="B22" s="53" t="s">
        <v>7</v>
      </c>
      <c r="C22" s="62">
        <f>Molded!C22</f>
        <v>67</v>
      </c>
      <c r="D22" s="62">
        <f>Molded!C22</f>
        <v>67</v>
      </c>
      <c r="E22" s="62">
        <f>Molded!C22</f>
        <v>67</v>
      </c>
    </row>
    <row r="23" spans="1:7">
      <c r="B23" s="53" t="s">
        <v>8</v>
      </c>
      <c r="C23" s="62">
        <f>Molded!C23</f>
        <v>67</v>
      </c>
      <c r="D23" s="62">
        <f>Molded!C23</f>
        <v>67</v>
      </c>
      <c r="E23" s="62">
        <f>Molded!C23</f>
        <v>67</v>
      </c>
    </row>
    <row r="24" spans="1:7">
      <c r="B24" s="53" t="s">
        <v>9</v>
      </c>
      <c r="C24" s="62">
        <f>Molded!C24</f>
        <v>67</v>
      </c>
      <c r="D24" s="62">
        <f>Molded!C24</f>
        <v>67</v>
      </c>
      <c r="E24" s="62">
        <f>Molded!C24</f>
        <v>67</v>
      </c>
    </row>
    <row r="25" spans="1:7">
      <c r="B25" s="53"/>
      <c r="C25" s="62"/>
      <c r="D25" s="62"/>
      <c r="E25" s="62"/>
    </row>
    <row r="26" spans="1:7">
      <c r="B26" s="53" t="s">
        <v>10</v>
      </c>
      <c r="C26" s="62">
        <f>Molded!C26</f>
        <v>69.3</v>
      </c>
      <c r="D26" s="62">
        <f>Molded!C26</f>
        <v>69.3</v>
      </c>
      <c r="E26" s="62">
        <f>Molded!C26</f>
        <v>69.3</v>
      </c>
    </row>
    <row r="27" spans="1:7">
      <c r="B27" s="53" t="s">
        <v>11</v>
      </c>
      <c r="C27" s="62">
        <f>Molded!C27</f>
        <v>72.7</v>
      </c>
      <c r="D27" s="62">
        <f>Molded!C27</f>
        <v>72.7</v>
      </c>
      <c r="E27" s="62">
        <f>Molded!C27</f>
        <v>72.7</v>
      </c>
    </row>
    <row r="28" spans="1:7">
      <c r="B28" s="53" t="s">
        <v>12</v>
      </c>
      <c r="C28" s="62">
        <f>Molded!C28</f>
        <v>72.7</v>
      </c>
      <c r="D28" s="62">
        <f>Molded!C28</f>
        <v>72.7</v>
      </c>
      <c r="E28" s="62">
        <f>Molded!C28</f>
        <v>72.7</v>
      </c>
    </row>
    <row r="29" spans="1:7">
      <c r="B29" s="53" t="s">
        <v>71</v>
      </c>
      <c r="C29" s="55">
        <f>Confidential!F17</f>
        <v>100.60000000000001</v>
      </c>
      <c r="D29" s="62" t="str">
        <f>Molded!C29</f>
        <v>N/A</v>
      </c>
      <c r="E29" s="62" t="str">
        <f>Molded!C29</f>
        <v>N/A</v>
      </c>
      <c r="F29" s="107"/>
    </row>
    <row r="30" spans="1:7" ht="18" customHeight="1">
      <c r="A30" s="70" t="s">
        <v>32</v>
      </c>
      <c r="B30" s="129" t="str">
        <f>Molded!B30</f>
        <v>HEIGHT 84" HC Add only</v>
      </c>
      <c r="C30" s="135">
        <f>Molded!C30</f>
        <v>30.75</v>
      </c>
      <c r="D30" s="136">
        <f>Molded!C30</f>
        <v>30.75</v>
      </c>
      <c r="E30" s="136">
        <f>Molded!C30</f>
        <v>30.75</v>
      </c>
      <c r="F30" s="107"/>
      <c r="G30" s="107"/>
    </row>
    <row r="31" spans="1:7">
      <c r="A31" s="70" t="s">
        <v>32</v>
      </c>
      <c r="B31" s="129" t="str">
        <f>Molded!B31</f>
        <v>HEIGHT 96" HC Add only</v>
      </c>
      <c r="C31" s="135">
        <f>Molded!C31</f>
        <v>85.350000000000009</v>
      </c>
      <c r="D31" s="136">
        <f>Molded!C31</f>
        <v>85.350000000000009</v>
      </c>
      <c r="E31" s="136">
        <f>Molded!C31</f>
        <v>85.350000000000009</v>
      </c>
      <c r="F31" s="107"/>
      <c r="G31" s="107"/>
    </row>
    <row r="32" spans="1:7">
      <c r="A32" s="70" t="s">
        <v>32</v>
      </c>
      <c r="B32" s="129" t="str">
        <f>Molded!B32</f>
        <v>1 3/8 SC 80'' Add only</v>
      </c>
      <c r="C32" s="135">
        <f>Molded!C32</f>
        <v>88</v>
      </c>
      <c r="D32" s="136">
        <f>Molded!C32</f>
        <v>88</v>
      </c>
      <c r="E32" s="136">
        <f>Molded!C32</f>
        <v>88</v>
      </c>
    </row>
    <row r="33" spans="1:5">
      <c r="A33" s="70" t="s">
        <v>32</v>
      </c>
      <c r="B33" s="129" t="str">
        <f>Molded!B33</f>
        <v>1 3/8 SC 84'' Add only</v>
      </c>
      <c r="C33" s="135">
        <f>Molded!C33</f>
        <v>104.4</v>
      </c>
      <c r="D33" s="136">
        <f>Molded!C33</f>
        <v>104.4</v>
      </c>
      <c r="E33" s="136">
        <f>Molded!C33</f>
        <v>104.4</v>
      </c>
    </row>
    <row r="34" spans="1:5">
      <c r="A34" s="70" t="s">
        <v>32</v>
      </c>
      <c r="B34" s="129" t="str">
        <f>Molded!B34</f>
        <v>1 3/8 SC 96'' Add only</v>
      </c>
      <c r="C34" s="135">
        <f>Molded!C34</f>
        <v>196.10000000000002</v>
      </c>
      <c r="D34" s="136">
        <f>Molded!C34</f>
        <v>196.10000000000002</v>
      </c>
      <c r="E34" s="136">
        <f>Molded!C34</f>
        <v>196.10000000000002</v>
      </c>
    </row>
    <row r="35" spans="1:5">
      <c r="A35" s="70" t="s">
        <v>32</v>
      </c>
      <c r="B35" s="129" t="str">
        <f>Molded!B35</f>
        <v>1 3/4 HC 80" Add only</v>
      </c>
      <c r="C35" s="135">
        <f>Molded!C35</f>
        <v>31.8</v>
      </c>
      <c r="D35" s="136">
        <f>Molded!C35</f>
        <v>31.8</v>
      </c>
      <c r="E35" s="136">
        <f>Molded!C35</f>
        <v>31.8</v>
      </c>
    </row>
    <row r="36" spans="1:5">
      <c r="A36" s="70" t="s">
        <v>32</v>
      </c>
      <c r="B36" s="129" t="str">
        <f>Molded!B36</f>
        <v>1 3/4 HC 84" Add only</v>
      </c>
      <c r="C36" s="135">
        <f>Molded!C36</f>
        <v>36.550000000000004</v>
      </c>
      <c r="D36" s="136">
        <f>Molded!C36</f>
        <v>36.550000000000004</v>
      </c>
      <c r="E36" s="136">
        <f>Molded!C36</f>
        <v>36.550000000000004</v>
      </c>
    </row>
    <row r="37" spans="1:5">
      <c r="A37" s="129" t="str">
        <f>Molded!A37</f>
        <v>Add for Easy-IN 4-9/16 MDF to HC/SC</v>
      </c>
      <c r="B37" s="129"/>
      <c r="C37" s="135">
        <f>Molded!C37</f>
        <v>65.7</v>
      </c>
      <c r="D37" s="136">
        <f>Molded!C37</f>
        <v>65.7</v>
      </c>
      <c r="E37" s="136">
        <f>Molded!C37</f>
        <v>65.7</v>
      </c>
    </row>
    <row r="38" spans="1:5">
      <c r="A38" s="129" t="str">
        <f>Molded!A38</f>
        <v>Add for Prehung 4-9/16 FJP to HC/SC</v>
      </c>
      <c r="B38" s="129"/>
      <c r="C38" s="135">
        <f>Molded!C38</f>
        <v>79.5</v>
      </c>
      <c r="D38" s="136">
        <f>Molded!C38</f>
        <v>79.5</v>
      </c>
      <c r="E38" s="136">
        <f>Molded!C38</f>
        <v>79.5</v>
      </c>
    </row>
    <row r="39" spans="1:5">
      <c r="A39" s="70"/>
      <c r="B39" s="57"/>
      <c r="C39" s="55"/>
      <c r="D39" s="55"/>
      <c r="E39" s="55"/>
    </row>
    <row r="40" spans="1:5" ht="42.75" customHeight="1">
      <c r="B40" s="2" t="str">
        <f>Molded!B40</f>
        <v>BIFOLDS 
c/w  Hard.</v>
      </c>
      <c r="C40" s="54" t="s">
        <v>29</v>
      </c>
      <c r="D40" s="54" t="s">
        <v>14</v>
      </c>
      <c r="E40" s="54" t="s">
        <v>21</v>
      </c>
    </row>
    <row r="41" spans="1:5">
      <c r="B41" s="53" t="s">
        <v>6</v>
      </c>
      <c r="C41" s="55">
        <f>Molded!C41</f>
        <v>78.45</v>
      </c>
      <c r="D41" s="55">
        <f>Molded!C41</f>
        <v>78.45</v>
      </c>
      <c r="E41" s="55">
        <f>Molded!C41</f>
        <v>78.45</v>
      </c>
    </row>
    <row r="42" spans="1:5">
      <c r="B42" s="53" t="s">
        <v>7</v>
      </c>
      <c r="C42" s="55">
        <f>Molded!C42</f>
        <v>86.45</v>
      </c>
      <c r="D42" s="55">
        <f>Molded!C42</f>
        <v>86.45</v>
      </c>
      <c r="E42" s="55">
        <f>Molded!C42</f>
        <v>86.45</v>
      </c>
    </row>
    <row r="43" spans="1:5">
      <c r="B43" s="53" t="s">
        <v>8</v>
      </c>
      <c r="C43" s="55">
        <f>Molded!C43</f>
        <v>86.45</v>
      </c>
      <c r="D43" s="55">
        <f>Molded!C43</f>
        <v>86.45</v>
      </c>
      <c r="E43" s="55">
        <f>Molded!C43</f>
        <v>86.45</v>
      </c>
    </row>
    <row r="44" spans="1:5">
      <c r="B44" s="53" t="s">
        <v>9</v>
      </c>
      <c r="C44" s="55">
        <f>Molded!C44</f>
        <v>86.45</v>
      </c>
      <c r="D44" s="55">
        <f>Molded!C44</f>
        <v>86.45</v>
      </c>
      <c r="E44" s="55">
        <f>Molded!C44</f>
        <v>86.45</v>
      </c>
    </row>
    <row r="45" spans="1:5">
      <c r="B45" s="53"/>
      <c r="C45" s="55"/>
      <c r="D45" s="55"/>
      <c r="E45" s="55"/>
    </row>
    <row r="46" spans="1:5">
      <c r="B46" s="53" t="s">
        <v>10</v>
      </c>
      <c r="C46" s="55">
        <f>Molded!C46</f>
        <v>91.5</v>
      </c>
      <c r="D46" s="55">
        <f>Molded!C46</f>
        <v>91.5</v>
      </c>
      <c r="E46" s="55">
        <f>Molded!C46</f>
        <v>91.5</v>
      </c>
    </row>
    <row r="47" spans="1:5">
      <c r="B47" s="53" t="s">
        <v>11</v>
      </c>
      <c r="C47" s="55">
        <f>Molded!C47</f>
        <v>91.5</v>
      </c>
      <c r="D47" s="55">
        <f>Molded!C47</f>
        <v>91.5</v>
      </c>
      <c r="E47" s="55">
        <f>Molded!C47</f>
        <v>91.5</v>
      </c>
    </row>
    <row r="48" spans="1:5">
      <c r="B48" s="53" t="s">
        <v>12</v>
      </c>
      <c r="C48" s="55">
        <f>Molded!C48</f>
        <v>91.5</v>
      </c>
      <c r="D48" s="55">
        <f>Molded!C48</f>
        <v>91.5</v>
      </c>
      <c r="E48" s="55">
        <f>Molded!C48</f>
        <v>91.5</v>
      </c>
    </row>
    <row r="49" spans="1:5" ht="18" customHeight="1">
      <c r="A49" s="70" t="s">
        <v>32</v>
      </c>
      <c r="B49" s="57" t="str">
        <f>Molded!B49</f>
        <v>HEIGHT 84"</v>
      </c>
      <c r="C49" s="131">
        <f>Molded!C49</f>
        <v>30.75</v>
      </c>
      <c r="D49" s="136">
        <f>Molded!C49</f>
        <v>30.75</v>
      </c>
      <c r="E49" s="136">
        <f>Molded!C49</f>
        <v>30.75</v>
      </c>
    </row>
    <row r="50" spans="1:5">
      <c r="A50" s="70" t="s">
        <v>32</v>
      </c>
      <c r="B50" s="57" t="str">
        <f>Molded!B50</f>
        <v>HEIGHT 96"</v>
      </c>
      <c r="C50" s="131">
        <f>Molded!C50</f>
        <v>85.350000000000009</v>
      </c>
      <c r="D50" s="136">
        <f>Molded!C50</f>
        <v>85.350000000000009</v>
      </c>
      <c r="E50" s="136">
        <f>Molded!C50</f>
        <v>85.350000000000009</v>
      </c>
    </row>
    <row r="51" spans="1:5">
      <c r="A51" s="70"/>
      <c r="B51" s="57"/>
      <c r="C51" s="55"/>
      <c r="D51" s="55"/>
      <c r="E51" s="55"/>
    </row>
    <row r="52" spans="1:5" ht="51.75" customHeight="1">
      <c r="B52" s="2" t="str">
        <f>Molded!B52</f>
        <v>1-3/4 SC</v>
      </c>
      <c r="C52" s="54" t="s">
        <v>29</v>
      </c>
      <c r="D52" s="54" t="s">
        <v>14</v>
      </c>
      <c r="E52" s="54" t="s">
        <v>21</v>
      </c>
    </row>
    <row r="53" spans="1:5" ht="15.75" customHeight="1">
      <c r="B53" s="5" t="str">
        <f>Molded!B53</f>
        <v>18"</v>
      </c>
      <c r="C53" s="55">
        <f>Molded!C53</f>
        <v>188.5</v>
      </c>
      <c r="D53" s="55">
        <f>Molded!C53</f>
        <v>188.5</v>
      </c>
      <c r="E53" s="55">
        <f>Molded!C53</f>
        <v>188.5</v>
      </c>
    </row>
    <row r="54" spans="1:5">
      <c r="B54" s="5" t="str">
        <f>Molded!B54</f>
        <v>20" to 24"</v>
      </c>
      <c r="C54" s="55">
        <f>Molded!C54</f>
        <v>191.85000000000002</v>
      </c>
      <c r="D54" s="55">
        <f>Molded!C54</f>
        <v>191.85000000000002</v>
      </c>
      <c r="E54" s="55">
        <f>Molded!C54</f>
        <v>191.85000000000002</v>
      </c>
    </row>
    <row r="55" spans="1:5">
      <c r="B55" s="5" t="str">
        <f>Molded!B55</f>
        <v>26" to 30"</v>
      </c>
      <c r="C55" s="55">
        <f>Molded!C55</f>
        <v>194.2</v>
      </c>
      <c r="D55" s="55">
        <f>Molded!C55</f>
        <v>194.2</v>
      </c>
      <c r="E55" s="55">
        <f>Molded!C55</f>
        <v>194.2</v>
      </c>
    </row>
    <row r="56" spans="1:5">
      <c r="B56" s="5" t="str">
        <f>Molded!B56</f>
        <v>32"</v>
      </c>
      <c r="C56" s="55">
        <f>Molded!C56</f>
        <v>196.5</v>
      </c>
      <c r="D56" s="55">
        <f>Molded!C56</f>
        <v>196.5</v>
      </c>
      <c r="E56" s="55">
        <f>Molded!C56</f>
        <v>196.5</v>
      </c>
    </row>
    <row r="57" spans="1:5">
      <c r="B57" s="5" t="str">
        <f>Molded!B57</f>
        <v>34" to  36"</v>
      </c>
      <c r="C57" s="55">
        <f>Molded!C57</f>
        <v>199.9</v>
      </c>
      <c r="D57" s="55">
        <f>Molded!C57</f>
        <v>199.9</v>
      </c>
      <c r="E57" s="55">
        <f>Molded!C57</f>
        <v>199.9</v>
      </c>
    </row>
    <row r="58" spans="1:5">
      <c r="B58" s="53" t="s">
        <v>71</v>
      </c>
      <c r="C58" s="55">
        <f>Confidential!F50</f>
        <v>227.8</v>
      </c>
      <c r="D58" s="55" t="str">
        <f>Molded!C58</f>
        <v>N/A</v>
      </c>
      <c r="E58" s="55" t="str">
        <f>Molded!C58</f>
        <v>N/A</v>
      </c>
    </row>
    <row r="59" spans="1:5" ht="18" customHeight="1">
      <c r="A59" s="70" t="s">
        <v>32</v>
      </c>
      <c r="B59" s="57" t="str">
        <f>Molded!B59</f>
        <v>HEIGHT 84"</v>
      </c>
      <c r="C59" s="131">
        <f>Molded!C59</f>
        <v>13.8</v>
      </c>
      <c r="D59" s="131">
        <f>Molded!C59</f>
        <v>13.8</v>
      </c>
      <c r="E59" s="131">
        <f>Molded!C59</f>
        <v>13.8</v>
      </c>
    </row>
    <row r="60" spans="1:5">
      <c r="A60" s="70" t="s">
        <v>32</v>
      </c>
      <c r="B60" s="57" t="str">
        <f>Molded!B60</f>
        <v>HEIGHT 96"</v>
      </c>
      <c r="C60" s="131">
        <f>Molded!C60</f>
        <v>102.80000000000001</v>
      </c>
      <c r="D60" s="131">
        <f>Molded!C60</f>
        <v>102.80000000000001</v>
      </c>
      <c r="E60" s="131">
        <f>Molded!C60</f>
        <v>102.80000000000001</v>
      </c>
    </row>
    <row r="61" spans="1:5">
      <c r="A61" s="70" t="s">
        <v>32</v>
      </c>
      <c r="B61" s="57" t="str">
        <f>Molded!B61</f>
        <v>See availability table</v>
      </c>
      <c r="C61" s="55"/>
      <c r="D61" s="55"/>
      <c r="E61" s="55"/>
    </row>
    <row r="62" spans="1:5">
      <c r="B62" s="53"/>
      <c r="C62" s="55"/>
      <c r="D62" s="55"/>
      <c r="E62" s="55"/>
    </row>
    <row r="63" spans="1:5">
      <c r="B63" s="59" t="str">
        <f>Molded!B63</f>
        <v>Non standard: $79.5.00,  20 or more = $0.00 (same size/design)</v>
      </c>
      <c r="C63" s="55"/>
      <c r="D63" s="55"/>
      <c r="E63" s="55"/>
    </row>
    <row r="64" spans="1:5">
      <c r="B64" s="59" t="str">
        <f>Molded!B64</f>
        <v>See other options: Adders page</v>
      </c>
      <c r="D64" s="55"/>
      <c r="E64" s="55"/>
    </row>
    <row r="65" spans="2:5">
      <c r="B65" s="59" t="str">
        <f>Molded!B65</f>
        <v>Regional freight rates apply</v>
      </c>
      <c r="D65" s="55"/>
      <c r="E65" s="55"/>
    </row>
    <row r="66" spans="2:5">
      <c r="B66" s="59" t="str">
        <f>Molded!B66</f>
        <v>Price subject to change with 60 days notice.</v>
      </c>
      <c r="C66" s="55"/>
      <c r="D66" s="55"/>
      <c r="E66" s="55"/>
    </row>
    <row r="67" spans="2:5" ht="33" customHeight="1">
      <c r="B67" s="209" t="str">
        <f>Molded!B67</f>
        <v>**5% discount when ordering 300 units or more 
(must order full lift quantities and 1 lift must be the same sku/size/design)**</v>
      </c>
      <c r="C67" s="209"/>
      <c r="D67" s="209"/>
      <c r="E67" s="209"/>
    </row>
    <row r="68" spans="2:5">
      <c r="B68" s="65"/>
      <c r="C68" s="55"/>
      <c r="D68" s="55"/>
      <c r="E68" s="55"/>
    </row>
    <row r="69" spans="2:5">
      <c r="C69" s="55"/>
      <c r="D69" s="55"/>
      <c r="E69" s="55"/>
    </row>
    <row r="70" spans="2:5">
      <c r="C70" s="55"/>
      <c r="D70" s="55"/>
      <c r="E70" s="55"/>
    </row>
    <row r="71" spans="2:5">
      <c r="C71" s="55"/>
      <c r="D71" s="55"/>
      <c r="E71" s="55"/>
    </row>
    <row r="72" spans="2:5">
      <c r="C72" s="55"/>
      <c r="D72" s="55"/>
      <c r="E72" s="55"/>
    </row>
    <row r="73" spans="2:5">
      <c r="C73" s="55"/>
      <c r="D73" s="55"/>
      <c r="E73" s="55"/>
    </row>
    <row r="74" spans="2:5">
      <c r="C74" s="55"/>
      <c r="D74" s="55"/>
      <c r="E74" s="55"/>
    </row>
  </sheetData>
  <mergeCells count="4">
    <mergeCell ref="B2:E2"/>
    <mergeCell ref="B3:E3"/>
    <mergeCell ref="B4:E4"/>
    <mergeCell ref="B67:E67"/>
  </mergeCells>
  <conditionalFormatting sqref="C29:C38">
    <cfRule type="expression" dxfId="16" priority="2" stopIfTrue="1">
      <formula>#REF!="s"</formula>
    </cfRule>
  </conditionalFormatting>
  <conditionalFormatting sqref="C13:E28 C41:C50 C53:C62">
    <cfRule type="expression" dxfId="15" priority="48" stopIfTrue="1">
      <formula>#REF!="s"</formula>
    </cfRule>
  </conditionalFormatting>
  <conditionalFormatting sqref="D29:E29">
    <cfRule type="expression" dxfId="14" priority="13" stopIfTrue="1">
      <formula>#REF!="s"</formula>
    </cfRule>
  </conditionalFormatting>
  <conditionalFormatting sqref="D41:E48">
    <cfRule type="expression" dxfId="13" priority="44" stopIfTrue="1">
      <formula>#REF!="s"</formula>
    </cfRule>
  </conditionalFormatting>
  <conditionalFormatting sqref="D53:E58">
    <cfRule type="expression" dxfId="12" priority="4" stopIfTrue="1">
      <formula>#REF!="s"</formula>
    </cfRule>
  </conditionalFormatting>
  <printOptions horizontalCentered="1"/>
  <pageMargins left="0.23622047244094499" right="0.23622047244094499" top="0.55118110236220497" bottom="0" header="0.31496062992126" footer="0.118110236220472"/>
  <pageSetup scale="61" orientation="portrait" r:id="rId1"/>
  <headerFooter>
    <oddFooter>&amp;L&amp;P&amp;RApril 4, 2025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Q70"/>
  <sheetViews>
    <sheetView view="pageBreakPreview" topLeftCell="A5" zoomScale="90" zoomScaleNormal="75" zoomScaleSheetLayoutView="90" workbookViewId="0">
      <selection activeCell="B3" sqref="B3:G3"/>
    </sheetView>
  </sheetViews>
  <sheetFormatPr defaultColWidth="9.23046875" defaultRowHeight="15.5"/>
  <cols>
    <col min="1" max="1" width="9.23046875" style="64" customWidth="1"/>
    <col min="2" max="2" width="18.4609375" style="56" customWidth="1"/>
    <col min="3" max="3" width="11.69140625" style="56" customWidth="1"/>
    <col min="4" max="4" width="11.69140625" style="64" customWidth="1"/>
    <col min="5" max="5" width="9.53515625" style="64" customWidth="1"/>
    <col min="6" max="6" width="12.69140625" style="64" customWidth="1"/>
    <col min="7" max="8" width="11.69140625" style="64" customWidth="1"/>
    <col min="9" max="9" width="7.84375" style="64" customWidth="1"/>
    <col min="10" max="10" width="8.69140625" style="64" customWidth="1"/>
    <col min="11" max="218" width="10.84375" style="64" customWidth="1"/>
    <col min="219" max="16384" width="9.23046875" style="64"/>
  </cols>
  <sheetData>
    <row r="1" spans="1:11" ht="48.75" customHeight="1"/>
    <row r="2" spans="1:11" ht="26.25" customHeight="1">
      <c r="B2" s="206" t="str">
        <f>Molded!B2:E2</f>
        <v>NET PRICE LIST (April 4, 2025)</v>
      </c>
      <c r="C2" s="206"/>
      <c r="D2" s="206"/>
      <c r="E2" s="206"/>
      <c r="F2" s="206"/>
      <c r="G2" s="206"/>
      <c r="H2" s="6"/>
      <c r="I2" s="6"/>
      <c r="J2" s="6"/>
    </row>
    <row r="3" spans="1:11" ht="33" customHeight="1">
      <c r="A3" s="71"/>
      <c r="B3" s="207" t="str">
        <f>Molded!B3:E3</f>
        <v>Customer Name &amp; Number</v>
      </c>
      <c r="C3" s="207"/>
      <c r="D3" s="207"/>
      <c r="E3" s="207"/>
      <c r="F3" s="207"/>
      <c r="G3" s="207"/>
      <c r="H3" s="115"/>
      <c r="I3" s="115"/>
      <c r="J3" s="53"/>
    </row>
    <row r="4" spans="1:11" ht="23.25" customHeight="1">
      <c r="A4" s="73"/>
      <c r="B4" s="208" t="str">
        <f>Molded!B4:E4</f>
        <v>AA-Dealer Central</v>
      </c>
      <c r="C4" s="208"/>
      <c r="D4" s="208"/>
      <c r="E4" s="208"/>
      <c r="F4" s="208"/>
      <c r="G4" s="208"/>
      <c r="H4" s="116"/>
      <c r="I4" s="116"/>
      <c r="J4" s="73"/>
    </row>
    <row r="5" spans="1:11">
      <c r="C5" s="1"/>
      <c r="D5" s="1"/>
      <c r="E5" s="61"/>
      <c r="F5" s="1"/>
      <c r="G5" s="1"/>
      <c r="H5" s="1"/>
      <c r="I5" s="1"/>
    </row>
    <row r="6" spans="1:11">
      <c r="B6" s="53"/>
      <c r="C6" s="61"/>
      <c r="D6" s="61"/>
      <c r="E6" s="61"/>
      <c r="F6" s="61"/>
      <c r="G6" s="61"/>
      <c r="H6" s="61"/>
      <c r="I6" s="61"/>
    </row>
    <row r="7" spans="1:11">
      <c r="C7" s="61"/>
      <c r="D7" s="61"/>
      <c r="E7" s="61"/>
      <c r="F7" s="61"/>
      <c r="G7" s="61"/>
      <c r="H7" s="61"/>
      <c r="I7" s="61"/>
    </row>
    <row r="8" spans="1:11">
      <c r="C8" s="61"/>
      <c r="D8" s="61"/>
      <c r="E8" s="61"/>
      <c r="F8" s="61"/>
      <c r="G8" s="61"/>
      <c r="H8" s="61"/>
      <c r="I8" s="4"/>
    </row>
    <row r="9" spans="1:11">
      <c r="C9" s="61"/>
      <c r="D9" s="61"/>
      <c r="E9" s="61"/>
      <c r="F9" s="61"/>
      <c r="G9" s="61"/>
      <c r="H9" s="61"/>
      <c r="I9" s="53"/>
    </row>
    <row r="10" spans="1:11">
      <c r="C10" s="61"/>
      <c r="D10" s="61"/>
      <c r="E10" s="61"/>
      <c r="F10" s="61"/>
      <c r="G10" s="61"/>
      <c r="H10" s="61"/>
      <c r="I10" s="53"/>
    </row>
    <row r="11" spans="1:11">
      <c r="C11" s="61"/>
      <c r="D11" s="61"/>
      <c r="E11" s="61"/>
      <c r="F11" s="61"/>
      <c r="G11" s="61"/>
      <c r="H11" s="61"/>
      <c r="I11" s="53"/>
    </row>
    <row r="12" spans="1:11" ht="30" customHeight="1">
      <c r="B12" s="54" t="s">
        <v>27</v>
      </c>
      <c r="C12" s="54" t="s">
        <v>22</v>
      </c>
      <c r="D12" s="54" t="s">
        <v>20</v>
      </c>
      <c r="E12" s="54" t="s">
        <v>25</v>
      </c>
      <c r="F12" s="54" t="s">
        <v>31</v>
      </c>
      <c r="G12" s="54" t="s">
        <v>18</v>
      </c>
      <c r="H12" s="53"/>
      <c r="I12" s="53"/>
    </row>
    <row r="13" spans="1:11">
      <c r="B13" s="53" t="s">
        <v>0</v>
      </c>
      <c r="C13" s="62">
        <f>Confidential!H4</f>
        <v>66.050000000000011</v>
      </c>
      <c r="D13" s="62">
        <f>Confidential!J4</f>
        <v>72.95</v>
      </c>
      <c r="E13" s="62">
        <f>D13</f>
        <v>72.95</v>
      </c>
      <c r="F13" s="62">
        <f>D13</f>
        <v>72.95</v>
      </c>
      <c r="G13" s="62">
        <f>D13</f>
        <v>72.95</v>
      </c>
      <c r="H13" s="56"/>
      <c r="I13" s="62"/>
      <c r="J13" s="126"/>
      <c r="K13" s="107"/>
    </row>
    <row r="14" spans="1:11" ht="17" customHeight="1">
      <c r="B14" s="53" t="s">
        <v>1</v>
      </c>
      <c r="C14" s="62">
        <f>Confidential!H5</f>
        <v>66.050000000000011</v>
      </c>
      <c r="D14" s="62">
        <f>Confidential!J5</f>
        <v>72.95</v>
      </c>
      <c r="E14" s="62">
        <f t="shared" ref="E14:E33" si="0">D14</f>
        <v>72.95</v>
      </c>
      <c r="F14" s="62">
        <f>D14</f>
        <v>72.95</v>
      </c>
      <c r="G14" s="62">
        <f t="shared" ref="G14:G29" si="1">D14</f>
        <v>72.95</v>
      </c>
      <c r="H14" s="56"/>
      <c r="I14" s="62"/>
      <c r="J14" s="126"/>
      <c r="K14" s="107"/>
    </row>
    <row r="15" spans="1:11">
      <c r="B15" s="53" t="s">
        <v>2</v>
      </c>
      <c r="C15" s="62">
        <f>Confidential!H6</f>
        <v>66.050000000000011</v>
      </c>
      <c r="D15" s="62">
        <f>Confidential!J6</f>
        <v>72.95</v>
      </c>
      <c r="E15" s="62">
        <f t="shared" si="0"/>
        <v>72.95</v>
      </c>
      <c r="F15" s="62">
        <f>D15</f>
        <v>72.95</v>
      </c>
      <c r="G15" s="62">
        <f t="shared" si="1"/>
        <v>72.95</v>
      </c>
      <c r="H15" s="56"/>
      <c r="I15" s="62"/>
      <c r="J15" s="126"/>
      <c r="K15" s="107"/>
    </row>
    <row r="16" spans="1:11">
      <c r="B16" s="53" t="s">
        <v>3</v>
      </c>
      <c r="C16" s="62">
        <f>Confidential!H7</f>
        <v>66.050000000000011</v>
      </c>
      <c r="D16" s="62">
        <f>Confidential!J7</f>
        <v>72.95</v>
      </c>
      <c r="E16" s="62">
        <f t="shared" si="0"/>
        <v>72.95</v>
      </c>
      <c r="F16" s="62">
        <f>D16</f>
        <v>72.95</v>
      </c>
      <c r="G16" s="62">
        <f t="shared" si="1"/>
        <v>72.95</v>
      </c>
      <c r="H16" s="56"/>
      <c r="I16" s="62"/>
      <c r="J16" s="126"/>
      <c r="K16" s="107"/>
    </row>
    <row r="17" spans="1:11">
      <c r="B17" s="53"/>
      <c r="C17" s="62"/>
      <c r="D17" s="62"/>
      <c r="E17" s="62"/>
      <c r="F17" s="62"/>
      <c r="G17" s="62"/>
      <c r="H17" s="56"/>
      <c r="I17" s="62"/>
      <c r="J17" s="126"/>
      <c r="K17" s="107"/>
    </row>
    <row r="18" spans="1:11">
      <c r="B18" s="53" t="s">
        <v>4</v>
      </c>
      <c r="C18" s="62">
        <f>Confidential!H8</f>
        <v>69.400000000000006</v>
      </c>
      <c r="D18" s="62">
        <f>Confidential!J8</f>
        <v>76.300000000000011</v>
      </c>
      <c r="E18" s="62">
        <f t="shared" si="0"/>
        <v>76.300000000000011</v>
      </c>
      <c r="F18" s="62">
        <f>D18</f>
        <v>76.300000000000011</v>
      </c>
      <c r="G18" s="62">
        <f t="shared" si="1"/>
        <v>76.300000000000011</v>
      </c>
      <c r="H18" s="56"/>
      <c r="I18" s="62"/>
      <c r="J18" s="126"/>
      <c r="K18" s="107"/>
    </row>
    <row r="19" spans="1:11">
      <c r="B19" s="53" t="s">
        <v>5</v>
      </c>
      <c r="C19" s="62">
        <f>Confidential!H9</f>
        <v>69.400000000000006</v>
      </c>
      <c r="D19" s="62">
        <f>Confidential!J9</f>
        <v>76.300000000000011</v>
      </c>
      <c r="E19" s="62">
        <f t="shared" si="0"/>
        <v>76.300000000000011</v>
      </c>
      <c r="F19" s="62">
        <f>D19</f>
        <v>76.300000000000011</v>
      </c>
      <c r="G19" s="62">
        <f t="shared" si="1"/>
        <v>76.300000000000011</v>
      </c>
      <c r="H19" s="56"/>
      <c r="I19" s="62"/>
      <c r="J19" s="126"/>
      <c r="K19" s="107"/>
    </row>
    <row r="20" spans="1:11">
      <c r="B20" s="53" t="s">
        <v>6</v>
      </c>
      <c r="C20" s="62">
        <f>Confidential!H10</f>
        <v>69.400000000000006</v>
      </c>
      <c r="D20" s="62">
        <f>Confidential!J10</f>
        <v>76.300000000000011</v>
      </c>
      <c r="E20" s="62">
        <f t="shared" si="0"/>
        <v>76.300000000000011</v>
      </c>
      <c r="F20" s="62">
        <f>D20</f>
        <v>76.300000000000011</v>
      </c>
      <c r="G20" s="62">
        <f t="shared" si="1"/>
        <v>76.300000000000011</v>
      </c>
      <c r="H20" s="56"/>
      <c r="I20" s="62"/>
      <c r="J20" s="126"/>
      <c r="K20" s="107"/>
    </row>
    <row r="21" spans="1:11">
      <c r="B21" s="53"/>
      <c r="C21" s="62"/>
      <c r="D21" s="62"/>
      <c r="E21" s="62"/>
      <c r="F21" s="62"/>
      <c r="G21" s="62"/>
      <c r="H21" s="56"/>
      <c r="I21" s="62"/>
      <c r="J21" s="126"/>
      <c r="K21" s="107"/>
    </row>
    <row r="22" spans="1:11">
      <c r="B22" s="53" t="s">
        <v>7</v>
      </c>
      <c r="C22" s="62">
        <f>Confidential!H11</f>
        <v>71.75</v>
      </c>
      <c r="D22" s="62">
        <f>Confidential!J11</f>
        <v>78.650000000000006</v>
      </c>
      <c r="E22" s="62">
        <f t="shared" si="0"/>
        <v>78.650000000000006</v>
      </c>
      <c r="F22" s="62">
        <f>D22</f>
        <v>78.650000000000006</v>
      </c>
      <c r="G22" s="62">
        <f t="shared" si="1"/>
        <v>78.650000000000006</v>
      </c>
      <c r="H22" s="56"/>
      <c r="I22" s="62"/>
      <c r="J22" s="126"/>
      <c r="K22" s="107"/>
    </row>
    <row r="23" spans="1:11">
      <c r="B23" s="53" t="s">
        <v>8</v>
      </c>
      <c r="C23" s="62">
        <f>Confidential!H12</f>
        <v>71.75</v>
      </c>
      <c r="D23" s="62">
        <f>Confidential!J12</f>
        <v>78.650000000000006</v>
      </c>
      <c r="E23" s="62">
        <f t="shared" si="0"/>
        <v>78.650000000000006</v>
      </c>
      <c r="F23" s="62">
        <f>D23</f>
        <v>78.650000000000006</v>
      </c>
      <c r="G23" s="62">
        <f t="shared" si="1"/>
        <v>78.650000000000006</v>
      </c>
      <c r="H23" s="56"/>
      <c r="I23" s="62"/>
      <c r="J23" s="126"/>
      <c r="K23" s="107"/>
    </row>
    <row r="24" spans="1:11">
      <c r="B24" s="53" t="s">
        <v>9</v>
      </c>
      <c r="C24" s="62">
        <f>Confidential!H13</f>
        <v>71.75</v>
      </c>
      <c r="D24" s="62">
        <f>Confidential!J13</f>
        <v>78.650000000000006</v>
      </c>
      <c r="E24" s="62">
        <f t="shared" si="0"/>
        <v>78.650000000000006</v>
      </c>
      <c r="F24" s="62">
        <f>D24</f>
        <v>78.650000000000006</v>
      </c>
      <c r="G24" s="62">
        <f t="shared" si="1"/>
        <v>78.650000000000006</v>
      </c>
      <c r="H24" s="56"/>
      <c r="I24" s="62"/>
      <c r="J24" s="126"/>
      <c r="K24" s="107"/>
    </row>
    <row r="25" spans="1:11">
      <c r="B25" s="53"/>
      <c r="C25" s="62"/>
      <c r="D25" s="62"/>
      <c r="E25" s="62"/>
      <c r="F25" s="62"/>
      <c r="G25" s="62"/>
      <c r="H25" s="56"/>
      <c r="I25" s="62"/>
      <c r="J25" s="126"/>
      <c r="K25" s="107"/>
    </row>
    <row r="26" spans="1:11">
      <c r="B26" s="53" t="s">
        <v>10</v>
      </c>
      <c r="C26" s="62">
        <f>Confidential!H14</f>
        <v>74.05</v>
      </c>
      <c r="D26" s="62">
        <f>Confidential!J14</f>
        <v>80.95</v>
      </c>
      <c r="E26" s="62">
        <f t="shared" si="0"/>
        <v>80.95</v>
      </c>
      <c r="F26" s="62">
        <f>D26</f>
        <v>80.95</v>
      </c>
      <c r="G26" s="62">
        <f t="shared" si="1"/>
        <v>80.95</v>
      </c>
      <c r="H26" s="56"/>
      <c r="I26" s="62"/>
      <c r="J26" s="126"/>
      <c r="K26" s="107"/>
    </row>
    <row r="27" spans="1:11">
      <c r="B27" s="53" t="s">
        <v>11</v>
      </c>
      <c r="C27" s="62">
        <f>Confidential!H15</f>
        <v>77.45</v>
      </c>
      <c r="D27" s="62">
        <f>Confidential!J15</f>
        <v>84.350000000000009</v>
      </c>
      <c r="E27" s="62">
        <f t="shared" si="0"/>
        <v>84.350000000000009</v>
      </c>
      <c r="F27" s="62">
        <f>D27</f>
        <v>84.350000000000009</v>
      </c>
      <c r="G27" s="62">
        <f t="shared" si="1"/>
        <v>84.350000000000009</v>
      </c>
      <c r="H27" s="56"/>
      <c r="I27" s="62"/>
      <c r="J27" s="126"/>
      <c r="K27" s="107"/>
    </row>
    <row r="28" spans="1:11">
      <c r="B28" s="53" t="s">
        <v>12</v>
      </c>
      <c r="C28" s="62">
        <f>Confidential!H16</f>
        <v>77.45</v>
      </c>
      <c r="D28" s="62">
        <f>Confidential!J16</f>
        <v>84.350000000000009</v>
      </c>
      <c r="E28" s="62">
        <f t="shared" si="0"/>
        <v>84.350000000000009</v>
      </c>
      <c r="F28" s="62">
        <f>D28</f>
        <v>84.350000000000009</v>
      </c>
      <c r="G28" s="62">
        <f t="shared" si="1"/>
        <v>84.350000000000009</v>
      </c>
      <c r="H28" s="56"/>
      <c r="I28" s="62"/>
      <c r="J28" s="126"/>
      <c r="K28" s="107"/>
    </row>
    <row r="29" spans="1:11" ht="18" customHeight="1">
      <c r="A29" s="70" t="s">
        <v>32</v>
      </c>
      <c r="B29" s="129" t="str">
        <f>Molded!B30</f>
        <v>HEIGHT 84" HC Add only</v>
      </c>
      <c r="C29" s="131">
        <f>Confidential!H18</f>
        <v>30.75</v>
      </c>
      <c r="D29" s="135">
        <f>Confidential!J18</f>
        <v>30.75</v>
      </c>
      <c r="E29" s="135">
        <f t="shared" si="0"/>
        <v>30.75</v>
      </c>
      <c r="F29" s="135">
        <f t="shared" ref="F29:F33" si="2">D29</f>
        <v>30.75</v>
      </c>
      <c r="G29" s="135">
        <f t="shared" si="1"/>
        <v>30.75</v>
      </c>
      <c r="H29" s="56"/>
      <c r="I29" s="63"/>
    </row>
    <row r="30" spans="1:11" ht="18" customHeight="1">
      <c r="A30" s="70" t="s">
        <v>32</v>
      </c>
      <c r="B30" s="129" t="str">
        <f>Molded!B31</f>
        <v>HEIGHT 96" HC Add only</v>
      </c>
      <c r="C30" s="131">
        <f>Confidential!H19</f>
        <v>85.350000000000009</v>
      </c>
      <c r="D30" s="135">
        <f>Confidential!J19</f>
        <v>85.350000000000009</v>
      </c>
      <c r="E30" s="135">
        <f t="shared" si="0"/>
        <v>85.350000000000009</v>
      </c>
      <c r="F30" s="135">
        <f t="shared" si="2"/>
        <v>85.350000000000009</v>
      </c>
      <c r="G30" s="131" t="s">
        <v>28</v>
      </c>
      <c r="H30" s="55"/>
      <c r="I30" s="63"/>
    </row>
    <row r="31" spans="1:11" ht="18" customHeight="1">
      <c r="A31" s="70" t="s">
        <v>32</v>
      </c>
      <c r="B31" s="129" t="str">
        <f>Molded!B32</f>
        <v>1 3/8 SC 80'' Add only</v>
      </c>
      <c r="C31" s="131">
        <f>Confidential!H20</f>
        <v>88</v>
      </c>
      <c r="D31" s="135">
        <f>Confidential!J20</f>
        <v>88</v>
      </c>
      <c r="E31" s="135">
        <f t="shared" si="0"/>
        <v>88</v>
      </c>
      <c r="F31" s="135">
        <f t="shared" si="2"/>
        <v>88</v>
      </c>
      <c r="G31" s="131">
        <f>D31</f>
        <v>88</v>
      </c>
      <c r="H31" s="55"/>
      <c r="I31" s="63"/>
    </row>
    <row r="32" spans="1:11">
      <c r="A32" s="70" t="s">
        <v>32</v>
      </c>
      <c r="B32" s="129" t="str">
        <f>Molded!B33</f>
        <v>1 3/8 SC 84'' Add only</v>
      </c>
      <c r="C32" s="131">
        <f>Confidential!H21</f>
        <v>104.4</v>
      </c>
      <c r="D32" s="135">
        <f>Confidential!J21</f>
        <v>104.4</v>
      </c>
      <c r="E32" s="135">
        <f t="shared" si="0"/>
        <v>104.4</v>
      </c>
      <c r="F32" s="135">
        <f t="shared" si="2"/>
        <v>104.4</v>
      </c>
      <c r="G32" s="131">
        <f>D32</f>
        <v>104.4</v>
      </c>
      <c r="H32" s="55"/>
      <c r="I32" s="63"/>
    </row>
    <row r="33" spans="1:10">
      <c r="A33" s="70" t="s">
        <v>32</v>
      </c>
      <c r="B33" s="129" t="str">
        <f>Molded!B34</f>
        <v>1 3/8 SC 96'' Add only</v>
      </c>
      <c r="C33" s="131">
        <f>Confidential!H22</f>
        <v>196.10000000000002</v>
      </c>
      <c r="D33" s="135">
        <f>Confidential!J22</f>
        <v>196.10000000000002</v>
      </c>
      <c r="E33" s="135">
        <f t="shared" si="0"/>
        <v>196.10000000000002</v>
      </c>
      <c r="F33" s="135">
        <f t="shared" si="2"/>
        <v>196.10000000000002</v>
      </c>
      <c r="G33" s="131" t="s">
        <v>28</v>
      </c>
      <c r="H33" s="55"/>
      <c r="I33" s="63"/>
    </row>
    <row r="34" spans="1:10">
      <c r="A34" s="129" t="str">
        <f>Molded!A37</f>
        <v>Add for Easy-IN 4-9/16 MDF to HC/SC</v>
      </c>
      <c r="B34" s="129"/>
      <c r="C34" s="131">
        <f>Molded!C37</f>
        <v>65.7</v>
      </c>
      <c r="D34" s="135">
        <f>Molded!C37</f>
        <v>65.7</v>
      </c>
      <c r="E34" s="135">
        <f>Molded!C37</f>
        <v>65.7</v>
      </c>
      <c r="F34" s="135">
        <f>Molded!C37</f>
        <v>65.7</v>
      </c>
      <c r="G34" s="131">
        <f>Molded!C37</f>
        <v>65.7</v>
      </c>
      <c r="H34" s="55"/>
      <c r="I34" s="63"/>
    </row>
    <row r="35" spans="1:10">
      <c r="A35" s="129" t="str">
        <f>Molded!A38</f>
        <v>Add for Prehung 4-9/16 FJP to HC/SC</v>
      </c>
      <c r="B35" s="129"/>
      <c r="C35" s="131">
        <f>Molded!C38</f>
        <v>79.5</v>
      </c>
      <c r="D35" s="135">
        <f>Molded!C38</f>
        <v>79.5</v>
      </c>
      <c r="E35" s="135">
        <f>Molded!C38</f>
        <v>79.5</v>
      </c>
      <c r="F35" s="135">
        <f>Molded!C38</f>
        <v>79.5</v>
      </c>
      <c r="G35" s="131">
        <f>Molded!C38</f>
        <v>79.5</v>
      </c>
      <c r="H35" s="55"/>
      <c r="I35" s="63"/>
    </row>
    <row r="36" spans="1:10">
      <c r="A36" s="70"/>
      <c r="B36" s="57"/>
      <c r="C36" s="63"/>
      <c r="D36" s="62"/>
      <c r="E36" s="63"/>
      <c r="F36" s="63"/>
      <c r="G36" s="62"/>
      <c r="H36" s="56"/>
      <c r="I36" s="63"/>
    </row>
    <row r="37" spans="1:10" ht="51.65" customHeight="1">
      <c r="B37" s="2" t="str">
        <f>Molded!B40</f>
        <v>BIFOLDS 
c/w  Hard.</v>
      </c>
      <c r="C37" s="54" t="s">
        <v>22</v>
      </c>
      <c r="D37" s="54" t="s">
        <v>20</v>
      </c>
      <c r="E37" s="54" t="s">
        <v>25</v>
      </c>
      <c r="F37" s="54" t="s">
        <v>31</v>
      </c>
      <c r="G37" s="54" t="s">
        <v>18</v>
      </c>
      <c r="H37" s="53"/>
      <c r="I37" s="127"/>
    </row>
    <row r="38" spans="1:10">
      <c r="B38" s="53" t="s">
        <v>6</v>
      </c>
      <c r="C38" s="62">
        <f>Confidential!H33</f>
        <v>83.2</v>
      </c>
      <c r="D38" s="62">
        <f>Confidential!J33</f>
        <v>90.100000000000009</v>
      </c>
      <c r="E38" s="55">
        <f>D38</f>
        <v>90.100000000000009</v>
      </c>
      <c r="F38" s="62">
        <f>D38</f>
        <v>90.100000000000009</v>
      </c>
      <c r="G38" s="62">
        <f>D38</f>
        <v>90.100000000000009</v>
      </c>
      <c r="H38" s="56"/>
      <c r="I38" s="62"/>
      <c r="J38" s="107"/>
    </row>
    <row r="39" spans="1:10">
      <c r="B39" s="53" t="s">
        <v>7</v>
      </c>
      <c r="C39" s="62">
        <f>Confidential!H34</f>
        <v>91.2</v>
      </c>
      <c r="D39" s="62">
        <f>Confidential!J34</f>
        <v>98.100000000000009</v>
      </c>
      <c r="E39" s="55">
        <f t="shared" ref="E39:E45" si="3">D39</f>
        <v>98.100000000000009</v>
      </c>
      <c r="F39" s="62">
        <f>D39</f>
        <v>98.100000000000009</v>
      </c>
      <c r="G39" s="62">
        <f t="shared" ref="G39:G40" si="4">D39</f>
        <v>98.100000000000009</v>
      </c>
      <c r="H39" s="56"/>
      <c r="I39" s="62"/>
      <c r="J39" s="107"/>
    </row>
    <row r="40" spans="1:10">
      <c r="B40" s="53" t="s">
        <v>8</v>
      </c>
      <c r="C40" s="62">
        <f>Confidential!H35</f>
        <v>91.2</v>
      </c>
      <c r="D40" s="62">
        <f>Confidential!J35</f>
        <v>98.100000000000009</v>
      </c>
      <c r="E40" s="55">
        <f t="shared" si="3"/>
        <v>98.100000000000009</v>
      </c>
      <c r="F40" s="62">
        <f>D40</f>
        <v>98.100000000000009</v>
      </c>
      <c r="G40" s="62">
        <f t="shared" si="4"/>
        <v>98.100000000000009</v>
      </c>
      <c r="H40" s="56"/>
      <c r="I40" s="62"/>
      <c r="J40" s="107"/>
    </row>
    <row r="41" spans="1:10">
      <c r="B41" s="53" t="s">
        <v>9</v>
      </c>
      <c r="C41" s="62">
        <f>Confidential!H36</f>
        <v>91.2</v>
      </c>
      <c r="D41" s="62">
        <f>Confidential!J36</f>
        <v>98.100000000000009</v>
      </c>
      <c r="E41" s="55">
        <f t="shared" si="3"/>
        <v>98.100000000000009</v>
      </c>
      <c r="F41" s="62">
        <f>D41</f>
        <v>98.100000000000009</v>
      </c>
      <c r="G41" s="62">
        <f t="shared" ref="G41:G46" si="5">D41</f>
        <v>98.100000000000009</v>
      </c>
      <c r="H41" s="56"/>
      <c r="I41" s="62"/>
      <c r="J41" s="107"/>
    </row>
    <row r="42" spans="1:10">
      <c r="B42" s="53"/>
      <c r="C42" s="62"/>
      <c r="D42" s="62"/>
      <c r="E42" s="55"/>
      <c r="F42" s="55"/>
      <c r="G42" s="62"/>
      <c r="H42" s="56"/>
      <c r="I42" s="62"/>
      <c r="J42" s="107"/>
    </row>
    <row r="43" spans="1:10">
      <c r="B43" s="53" t="s">
        <v>10</v>
      </c>
      <c r="C43" s="62">
        <f>Confidential!H37</f>
        <v>96.25</v>
      </c>
      <c r="D43" s="62">
        <f>Confidential!J37</f>
        <v>103.15</v>
      </c>
      <c r="E43" s="55">
        <f t="shared" si="3"/>
        <v>103.15</v>
      </c>
      <c r="F43" s="62">
        <f>D43</f>
        <v>103.15</v>
      </c>
      <c r="G43" s="62">
        <f t="shared" si="5"/>
        <v>103.15</v>
      </c>
      <c r="H43" s="56"/>
      <c r="I43" s="62"/>
      <c r="J43" s="107"/>
    </row>
    <row r="44" spans="1:10">
      <c r="B44" s="53" t="s">
        <v>11</v>
      </c>
      <c r="C44" s="62">
        <f>Confidential!H38</f>
        <v>96.25</v>
      </c>
      <c r="D44" s="62">
        <f>Confidential!J38</f>
        <v>103.15</v>
      </c>
      <c r="E44" s="55">
        <f t="shared" si="3"/>
        <v>103.15</v>
      </c>
      <c r="F44" s="62">
        <f>D44</f>
        <v>103.15</v>
      </c>
      <c r="G44" s="62">
        <f t="shared" si="5"/>
        <v>103.15</v>
      </c>
      <c r="H44" s="56"/>
      <c r="I44" s="62"/>
      <c r="J44" s="107"/>
    </row>
    <row r="45" spans="1:10">
      <c r="B45" s="53" t="s">
        <v>12</v>
      </c>
      <c r="C45" s="62">
        <f>Confidential!H39</f>
        <v>96.25</v>
      </c>
      <c r="D45" s="62">
        <f>Confidential!J39</f>
        <v>103.15</v>
      </c>
      <c r="E45" s="55">
        <f t="shared" si="3"/>
        <v>103.15</v>
      </c>
      <c r="F45" s="62">
        <f>D45</f>
        <v>103.15</v>
      </c>
      <c r="G45" s="62">
        <f t="shared" si="5"/>
        <v>103.15</v>
      </c>
      <c r="H45" s="56"/>
      <c r="I45" s="62"/>
      <c r="J45" s="107"/>
    </row>
    <row r="46" spans="1:10" ht="18" customHeight="1">
      <c r="A46" s="70" t="s">
        <v>32</v>
      </c>
      <c r="B46" s="57" t="str">
        <f>Molded!B49</f>
        <v>HEIGHT 84"</v>
      </c>
      <c r="C46" s="136">
        <f>Confidential!H40</f>
        <v>30.75</v>
      </c>
      <c r="D46" s="136">
        <f>Confidential!J40</f>
        <v>30.75</v>
      </c>
      <c r="E46" s="136">
        <f>D46</f>
        <v>30.75</v>
      </c>
      <c r="F46" s="136">
        <f>D46</f>
        <v>30.75</v>
      </c>
      <c r="G46" s="135">
        <f t="shared" si="5"/>
        <v>30.75</v>
      </c>
      <c r="H46" s="56"/>
      <c r="I46" s="63"/>
    </row>
    <row r="47" spans="1:10">
      <c r="A47" s="70" t="s">
        <v>32</v>
      </c>
      <c r="B47" s="57" t="str">
        <f>Molded!B50</f>
        <v>HEIGHT 96"</v>
      </c>
      <c r="C47" s="136" t="str">
        <f>Confidential!H41</f>
        <v>N/A</v>
      </c>
      <c r="D47" s="136">
        <f>Confidential!J41</f>
        <v>85.350000000000009</v>
      </c>
      <c r="E47" s="136">
        <f>D47</f>
        <v>85.350000000000009</v>
      </c>
      <c r="F47" s="136" t="str">
        <f>C47</f>
        <v>N/A</v>
      </c>
      <c r="G47" s="135" t="s">
        <v>28</v>
      </c>
      <c r="H47" s="56"/>
      <c r="I47" s="63"/>
    </row>
    <row r="48" spans="1:10">
      <c r="A48" s="70"/>
      <c r="B48" s="57"/>
      <c r="C48" s="66"/>
      <c r="D48" s="55"/>
      <c r="E48" s="55"/>
      <c r="F48" s="55"/>
      <c r="G48" s="55"/>
      <c r="H48" s="55"/>
      <c r="I48" s="55"/>
    </row>
    <row r="49" spans="1:17" ht="44" customHeight="1">
      <c r="B49" s="2" t="str">
        <f>Molded!B52</f>
        <v>1-3/4 SC</v>
      </c>
      <c r="C49" s="54" t="s">
        <v>22</v>
      </c>
      <c r="D49" s="54" t="s">
        <v>20</v>
      </c>
      <c r="E49" s="54" t="s">
        <v>25</v>
      </c>
      <c r="F49" s="54" t="s">
        <v>31</v>
      </c>
      <c r="G49" s="54" t="s">
        <v>18</v>
      </c>
      <c r="H49" s="53"/>
      <c r="I49" s="127"/>
    </row>
    <row r="50" spans="1:17" ht="15.75" customHeight="1">
      <c r="B50" s="5" t="str">
        <f>Molded!B53</f>
        <v>18"</v>
      </c>
      <c r="C50" s="62">
        <f>Confidential!H45</f>
        <v>193.25</v>
      </c>
      <c r="D50" s="62">
        <f>Confidential!J45</f>
        <v>200.15</v>
      </c>
      <c r="E50" s="55">
        <f>D50</f>
        <v>200.15</v>
      </c>
      <c r="F50" s="62">
        <f t="shared" ref="F50:F56" si="6">D50</f>
        <v>200.15</v>
      </c>
      <c r="G50" s="62">
        <f t="shared" ref="G50:G55" si="7">D50</f>
        <v>200.15</v>
      </c>
      <c r="H50" s="53"/>
      <c r="I50" s="62"/>
      <c r="J50" s="107"/>
    </row>
    <row r="51" spans="1:17">
      <c r="B51" s="5" t="str">
        <f>Molded!B54</f>
        <v>20" to 24"</v>
      </c>
      <c r="C51" s="62">
        <f>Confidential!H46</f>
        <v>196.60000000000002</v>
      </c>
      <c r="D51" s="62">
        <f>Confidential!J46</f>
        <v>203.50000000000003</v>
      </c>
      <c r="E51" s="55">
        <f>D51</f>
        <v>203.50000000000003</v>
      </c>
      <c r="F51" s="62">
        <f t="shared" si="6"/>
        <v>203.50000000000003</v>
      </c>
      <c r="G51" s="62">
        <f t="shared" si="7"/>
        <v>203.50000000000003</v>
      </c>
      <c r="H51" s="53"/>
      <c r="I51" s="62"/>
      <c r="J51" s="107"/>
    </row>
    <row r="52" spans="1:17">
      <c r="B52" s="5" t="str">
        <f>Molded!B55</f>
        <v>26" to 30"</v>
      </c>
      <c r="C52" s="62">
        <f>Confidential!H47</f>
        <v>198.95</v>
      </c>
      <c r="D52" s="62">
        <f>Confidential!J47</f>
        <v>205.85</v>
      </c>
      <c r="E52" s="55">
        <f t="shared" ref="E52:E54" si="8">D52</f>
        <v>205.85</v>
      </c>
      <c r="F52" s="62">
        <f t="shared" si="6"/>
        <v>205.85</v>
      </c>
      <c r="G52" s="62">
        <f t="shared" si="7"/>
        <v>205.85</v>
      </c>
      <c r="H52" s="53"/>
      <c r="I52" s="62"/>
      <c r="J52" s="107"/>
    </row>
    <row r="53" spans="1:17">
      <c r="B53" s="5" t="str">
        <f>Molded!B56</f>
        <v>32"</v>
      </c>
      <c r="C53" s="62">
        <f>Confidential!H48</f>
        <v>201.25</v>
      </c>
      <c r="D53" s="62">
        <f>Confidential!J48</f>
        <v>208.15</v>
      </c>
      <c r="E53" s="55">
        <f t="shared" si="8"/>
        <v>208.15</v>
      </c>
      <c r="F53" s="62">
        <f t="shared" si="6"/>
        <v>208.15</v>
      </c>
      <c r="G53" s="62">
        <f t="shared" si="7"/>
        <v>208.15</v>
      </c>
      <c r="H53" s="53"/>
      <c r="I53" s="62"/>
      <c r="J53" s="107"/>
    </row>
    <row r="54" spans="1:17">
      <c r="B54" s="5" t="str">
        <f>Molded!B57</f>
        <v>34" to  36"</v>
      </c>
      <c r="C54" s="62">
        <f>Confidential!H49</f>
        <v>204.65</v>
      </c>
      <c r="D54" s="62">
        <f>Confidential!J49</f>
        <v>211.55</v>
      </c>
      <c r="E54" s="55">
        <f t="shared" si="8"/>
        <v>211.55</v>
      </c>
      <c r="F54" s="62">
        <f t="shared" si="6"/>
        <v>211.55</v>
      </c>
      <c r="G54" s="62">
        <f t="shared" si="7"/>
        <v>211.55</v>
      </c>
      <c r="H54" s="53"/>
      <c r="I54" s="62"/>
      <c r="J54" s="107"/>
    </row>
    <row r="55" spans="1:17" ht="18" customHeight="1">
      <c r="A55" s="70" t="s">
        <v>32</v>
      </c>
      <c r="B55" s="57" t="str">
        <f>Molded!B59</f>
        <v>HEIGHT 84"</v>
      </c>
      <c r="C55" s="131">
        <f>Confidential!H51</f>
        <v>13.8</v>
      </c>
      <c r="D55" s="131">
        <f>Confidential!J51</f>
        <v>13.8</v>
      </c>
      <c r="E55" s="131">
        <f>D55</f>
        <v>13.8</v>
      </c>
      <c r="F55" s="131">
        <f t="shared" si="6"/>
        <v>13.8</v>
      </c>
      <c r="G55" s="135">
        <f t="shared" si="7"/>
        <v>13.8</v>
      </c>
      <c r="H55" s="55"/>
      <c r="I55" s="55"/>
    </row>
    <row r="56" spans="1:17">
      <c r="A56" s="70" t="s">
        <v>32</v>
      </c>
      <c r="B56" s="57" t="str">
        <f>Molded!B60</f>
        <v>HEIGHT 96"</v>
      </c>
      <c r="C56" s="131">
        <f>Confidential!H52</f>
        <v>102.80000000000001</v>
      </c>
      <c r="D56" s="131">
        <f>Confidential!J52</f>
        <v>102.80000000000001</v>
      </c>
      <c r="E56" s="131">
        <f>D56</f>
        <v>102.80000000000001</v>
      </c>
      <c r="F56" s="131">
        <f t="shared" si="6"/>
        <v>102.80000000000001</v>
      </c>
      <c r="G56" s="135" t="s">
        <v>28</v>
      </c>
      <c r="H56" s="55"/>
      <c r="I56" s="55"/>
    </row>
    <row r="57" spans="1:17">
      <c r="A57" s="70" t="s">
        <v>32</v>
      </c>
      <c r="B57" s="57" t="str">
        <f>Molded!B61</f>
        <v>See availability table</v>
      </c>
      <c r="C57" s="55"/>
      <c r="D57" s="75"/>
      <c r="E57" s="55"/>
      <c r="F57" s="55"/>
      <c r="G57" s="62"/>
      <c r="H57" s="55"/>
      <c r="I57" s="55"/>
    </row>
    <row r="58" spans="1:17">
      <c r="B58" s="53"/>
      <c r="C58" s="55"/>
      <c r="D58" s="75"/>
      <c r="E58" s="55"/>
      <c r="F58" s="55"/>
      <c r="G58" s="62"/>
      <c r="H58" s="55"/>
      <c r="I58" s="55"/>
    </row>
    <row r="59" spans="1:17">
      <c r="B59" s="59" t="str">
        <f>Molded!B63</f>
        <v>Non standard: $79.5.00,  20 or more = $0.00 (same size/design)</v>
      </c>
      <c r="C59" s="55"/>
      <c r="D59" s="75"/>
      <c r="E59" s="75"/>
      <c r="F59" s="75"/>
      <c r="G59" s="75"/>
      <c r="H59" s="75"/>
      <c r="I59" s="75"/>
      <c r="J59" s="67"/>
      <c r="K59" s="67"/>
      <c r="L59" s="67"/>
      <c r="M59" s="67"/>
      <c r="N59" s="67"/>
      <c r="O59" s="67"/>
      <c r="P59" s="67"/>
      <c r="Q59" s="67"/>
    </row>
    <row r="60" spans="1:17">
      <c r="B60" s="59" t="str">
        <f>Molded!B64</f>
        <v>See other options: Adders page</v>
      </c>
      <c r="C60" s="55"/>
      <c r="D60" s="75"/>
      <c r="E60" s="75"/>
      <c r="F60" s="75"/>
      <c r="G60" s="75"/>
      <c r="H60" s="75"/>
      <c r="I60" s="75"/>
      <c r="J60" s="67"/>
      <c r="K60" s="67"/>
      <c r="L60" s="67"/>
      <c r="M60" s="67"/>
      <c r="N60" s="67"/>
      <c r="O60" s="67"/>
      <c r="P60" s="67"/>
      <c r="Q60" s="67"/>
    </row>
    <row r="61" spans="1:17">
      <c r="B61" s="59" t="str">
        <f>Molded!B65</f>
        <v>Regional freight rates apply</v>
      </c>
      <c r="C61" s="55"/>
      <c r="D61" s="75"/>
      <c r="E61" s="75"/>
      <c r="F61" s="75"/>
      <c r="G61" s="75"/>
      <c r="H61" s="75"/>
      <c r="I61" s="75"/>
      <c r="J61" s="67"/>
      <c r="K61" s="67"/>
      <c r="L61" s="67"/>
      <c r="M61" s="67"/>
      <c r="N61" s="67"/>
      <c r="O61" s="67"/>
      <c r="P61" s="67"/>
      <c r="Q61" s="67"/>
    </row>
    <row r="62" spans="1:17">
      <c r="B62" s="59" t="str">
        <f>Molded!B66</f>
        <v>Price subject to change with 60 days notice.</v>
      </c>
      <c r="C62" s="57"/>
      <c r="D62" s="55"/>
      <c r="E62" s="55"/>
      <c r="F62" s="55"/>
      <c r="G62" s="55"/>
      <c r="H62" s="55"/>
      <c r="I62" s="55"/>
      <c r="J62" s="55"/>
    </row>
    <row r="63" spans="1:17" ht="37.5" customHeight="1">
      <c r="B63" s="209" t="str">
        <f>Molded!B67</f>
        <v>**5% discount when ordering 300 units or more 
(must order full lift quantities and 1 lift must be the same sku/size/design)**</v>
      </c>
      <c r="C63" s="209"/>
      <c r="D63" s="209"/>
      <c r="E63" s="209"/>
      <c r="F63" s="209"/>
      <c r="G63" s="209"/>
      <c r="H63" s="209"/>
      <c r="I63" s="55"/>
      <c r="J63" s="55"/>
    </row>
    <row r="64" spans="1:17">
      <c r="B64" s="65"/>
      <c r="D64" s="55"/>
      <c r="E64" s="55"/>
      <c r="F64" s="55"/>
      <c r="G64" s="55"/>
      <c r="H64" s="55"/>
      <c r="I64" s="55"/>
      <c r="J64" s="55"/>
    </row>
    <row r="65" spans="4:10">
      <c r="D65" s="55"/>
      <c r="E65" s="55"/>
      <c r="F65" s="55"/>
      <c r="G65" s="55"/>
      <c r="H65" s="55"/>
      <c r="I65" s="55"/>
      <c r="J65" s="55"/>
    </row>
    <row r="66" spans="4:10">
      <c r="D66" s="55"/>
      <c r="E66" s="55"/>
      <c r="F66" s="55"/>
      <c r="G66" s="55"/>
      <c r="H66" s="55"/>
      <c r="I66" s="55"/>
      <c r="J66" s="55"/>
    </row>
    <row r="67" spans="4:10">
      <c r="D67" s="55"/>
      <c r="E67" s="55"/>
      <c r="F67" s="55"/>
      <c r="G67" s="55"/>
      <c r="H67" s="55"/>
      <c r="I67" s="55"/>
      <c r="J67" s="55"/>
    </row>
    <row r="68" spans="4:10">
      <c r="D68" s="55"/>
      <c r="E68" s="55"/>
      <c r="F68" s="55"/>
      <c r="G68" s="55"/>
      <c r="H68" s="55"/>
      <c r="I68" s="55"/>
      <c r="J68" s="55"/>
    </row>
    <row r="69" spans="4:10">
      <c r="D69" s="55"/>
      <c r="E69" s="55"/>
      <c r="F69" s="55"/>
      <c r="G69" s="55"/>
      <c r="H69" s="55"/>
      <c r="I69" s="55"/>
      <c r="J69" s="55"/>
    </row>
    <row r="70" spans="4:10">
      <c r="D70" s="55"/>
      <c r="E70" s="55"/>
      <c r="F70" s="55"/>
      <c r="G70" s="55"/>
      <c r="H70" s="55"/>
      <c r="I70" s="55"/>
      <c r="J70" s="55"/>
    </row>
  </sheetData>
  <mergeCells count="4">
    <mergeCell ref="B2:G2"/>
    <mergeCell ref="B3:G3"/>
    <mergeCell ref="B4:G4"/>
    <mergeCell ref="B63:H63"/>
  </mergeCells>
  <conditionalFormatting sqref="C13:C28 E13:F35 D13:D36 C50:F54">
    <cfRule type="expression" dxfId="11" priority="86" stopIfTrue="1">
      <formula>#REF!="s"</formula>
    </cfRule>
  </conditionalFormatting>
  <conditionalFormatting sqref="C38:F45">
    <cfRule type="expression" dxfId="10" priority="41" stopIfTrue="1">
      <formula>#REF!="s"</formula>
    </cfRule>
  </conditionalFormatting>
  <conditionalFormatting sqref="D57:D58">
    <cfRule type="expression" dxfId="9" priority="2" stopIfTrue="1">
      <formula>E52="s"</formula>
    </cfRule>
  </conditionalFormatting>
  <conditionalFormatting sqref="D59:D61">
    <cfRule type="expression" dxfId="8" priority="19" stopIfTrue="1">
      <formula>E53="s"</formula>
    </cfRule>
  </conditionalFormatting>
  <conditionalFormatting sqref="G13:G29 G36">
    <cfRule type="expression" dxfId="7" priority="13" stopIfTrue="1">
      <formula>#REF!="s"</formula>
    </cfRule>
  </conditionalFormatting>
  <conditionalFormatting sqref="G38:G47">
    <cfRule type="expression" dxfId="6" priority="11" stopIfTrue="1">
      <formula>#REF!="s"</formula>
    </cfRule>
  </conditionalFormatting>
  <conditionalFormatting sqref="G50:G58">
    <cfRule type="expression" dxfId="5" priority="3" stopIfTrue="1">
      <formula>#REF!="s"</formula>
    </cfRule>
  </conditionalFormatting>
  <conditionalFormatting sqref="G59:G61">
    <cfRule type="expression" dxfId="4" priority="5" stopIfTrue="1">
      <formula>I53="s"</formula>
    </cfRule>
  </conditionalFormatting>
  <conditionalFormatting sqref="I13:I28">
    <cfRule type="expression" dxfId="3" priority="85" stopIfTrue="1">
      <formula>H13="s"</formula>
    </cfRule>
  </conditionalFormatting>
  <conditionalFormatting sqref="I38:I45">
    <cfRule type="expression" dxfId="2" priority="39" stopIfTrue="1">
      <formula>H38="s"</formula>
    </cfRule>
  </conditionalFormatting>
  <conditionalFormatting sqref="I50:I54">
    <cfRule type="expression" dxfId="1" priority="1" stopIfTrue="1">
      <formula>H50="s"</formula>
    </cfRule>
  </conditionalFormatting>
  <conditionalFormatting sqref="J59:J61">
    <cfRule type="expression" dxfId="0" priority="20" stopIfTrue="1">
      <formula>L53="s"</formula>
    </cfRule>
  </conditionalFormatting>
  <printOptions horizontalCentered="1"/>
  <pageMargins left="0.23622047244094499" right="0.23622047244094499" top="0.55118110236220497" bottom="0" header="0.31496062992126" footer="0.118110236220472"/>
  <pageSetup scale="64" orientation="portrait" r:id="rId1"/>
  <headerFooter>
    <oddFooter>&amp;L&amp;P&amp;RApril 4, 2025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9F1B-21AF-48F9-9AA4-DF1639D01229}">
  <sheetPr>
    <tabColor theme="9" tint="0.59999389629810485"/>
  </sheetPr>
  <dimension ref="A5:H46"/>
  <sheetViews>
    <sheetView view="pageBreakPreview" zoomScale="80" zoomScaleNormal="100" zoomScaleSheetLayoutView="80" workbookViewId="0">
      <selection activeCell="B3" sqref="B3:E3"/>
    </sheetView>
  </sheetViews>
  <sheetFormatPr defaultColWidth="8.84375" defaultRowHeight="15.5"/>
  <cols>
    <col min="1" max="1" width="55.69140625" style="59" bestFit="1" customWidth="1"/>
    <col min="2" max="2" width="8.84375" style="56"/>
    <col min="3" max="16384" width="8.84375" style="59"/>
  </cols>
  <sheetData>
    <row r="5" spans="1:8" ht="27.75" customHeight="1">
      <c r="A5" s="206" t="str">
        <f>Molded!B2</f>
        <v>NET PRICE LIST (April 4, 2025)</v>
      </c>
      <c r="B5" s="206"/>
      <c r="C5" s="206"/>
      <c r="D5" s="206"/>
      <c r="E5" s="6"/>
      <c r="F5" s="6"/>
      <c r="G5" s="6"/>
      <c r="H5" s="6"/>
    </row>
    <row r="6" spans="1:8" ht="34.5" customHeight="1">
      <c r="A6" s="207" t="str">
        <f>Molded!B3</f>
        <v>Customer Name &amp; Number</v>
      </c>
      <c r="B6" s="207"/>
      <c r="C6" s="207"/>
      <c r="D6" s="207"/>
      <c r="E6" s="115"/>
      <c r="F6" s="115"/>
      <c r="G6" s="115"/>
    </row>
    <row r="7" spans="1:8" ht="21.75" customHeight="1">
      <c r="A7" s="208" t="str">
        <f>Molded!B4</f>
        <v>AA-Dealer Central</v>
      </c>
      <c r="B7" s="208"/>
      <c r="C7" s="208"/>
      <c r="D7" s="208"/>
      <c r="E7" s="116"/>
      <c r="F7" s="116"/>
      <c r="G7" s="116"/>
    </row>
    <row r="8" spans="1:8">
      <c r="A8" s="4"/>
      <c r="B8" s="4"/>
      <c r="C8" s="4"/>
      <c r="D8" s="116"/>
      <c r="E8" s="116"/>
      <c r="F8" s="116"/>
      <c r="G8" s="116"/>
    </row>
    <row r="9" spans="1:8" ht="18">
      <c r="A9" s="114" t="s">
        <v>77</v>
      </c>
    </row>
    <row r="10" spans="1:8">
      <c r="A10" s="113"/>
    </row>
    <row r="11" spans="1:8">
      <c r="A11" s="113"/>
    </row>
    <row r="12" spans="1:8" ht="19.5" customHeight="1">
      <c r="A12" s="134" t="s">
        <v>114</v>
      </c>
      <c r="B12" s="152">
        <v>9.5500000000000007</v>
      </c>
    </row>
    <row r="13" spans="1:8" ht="19.5" customHeight="1">
      <c r="A13" s="134" t="s">
        <v>115</v>
      </c>
      <c r="B13" s="152">
        <v>30.200000000000003</v>
      </c>
    </row>
    <row r="14" spans="1:8" ht="19.5" customHeight="1">
      <c r="A14" s="134" t="s">
        <v>116</v>
      </c>
      <c r="B14" s="152">
        <v>33.15</v>
      </c>
    </row>
    <row r="15" spans="1:8" ht="19.5" customHeight="1">
      <c r="A15" s="134" t="s">
        <v>135</v>
      </c>
      <c r="B15" s="152">
        <v>320.10000000000002</v>
      </c>
    </row>
    <row r="16" spans="1:8" ht="19.5" customHeight="1">
      <c r="A16" s="134" t="s">
        <v>136</v>
      </c>
      <c r="B16" s="152">
        <v>473.8</v>
      </c>
    </row>
    <row r="17" spans="1:2" ht="19.5" customHeight="1">
      <c r="A17" s="134" t="s">
        <v>137</v>
      </c>
      <c r="B17" s="152">
        <v>432.5</v>
      </c>
    </row>
    <row r="18" spans="1:2" ht="19.5" customHeight="1">
      <c r="A18" s="134" t="s">
        <v>117</v>
      </c>
      <c r="B18" s="152">
        <v>7.6000000000000005</v>
      </c>
    </row>
    <row r="19" spans="1:2" ht="19.5" customHeight="1">
      <c r="A19" s="134" t="s">
        <v>118</v>
      </c>
      <c r="B19" s="152">
        <v>7.6000000000000005</v>
      </c>
    </row>
    <row r="20" spans="1:2" ht="19.5" customHeight="1">
      <c r="A20" s="134"/>
    </row>
    <row r="21" spans="1:2" ht="19.5" customHeight="1">
      <c r="A21" s="137" t="s">
        <v>119</v>
      </c>
    </row>
    <row r="22" spans="1:2" ht="19.5" customHeight="1">
      <c r="A22" s="133" t="s">
        <v>120</v>
      </c>
      <c r="B22" s="152">
        <v>65.7</v>
      </c>
    </row>
    <row r="23" spans="1:2" ht="19.5" customHeight="1">
      <c r="A23" s="133" t="s">
        <v>121</v>
      </c>
      <c r="B23" s="152">
        <v>78.45</v>
      </c>
    </row>
    <row r="24" spans="1:2" ht="19.5" customHeight="1">
      <c r="A24" s="133" t="s">
        <v>122</v>
      </c>
      <c r="B24" s="152">
        <v>79.5</v>
      </c>
    </row>
    <row r="25" spans="1:2" ht="19.5" customHeight="1">
      <c r="A25" s="133" t="s">
        <v>123</v>
      </c>
      <c r="B25" s="152">
        <v>92.75</v>
      </c>
    </row>
    <row r="26" spans="1:2" ht="19.5" customHeight="1">
      <c r="A26" s="133" t="s">
        <v>140</v>
      </c>
      <c r="B26" s="152">
        <v>79.5</v>
      </c>
    </row>
    <row r="27" spans="1:2" ht="19.5" customHeight="1">
      <c r="A27" s="133" t="s">
        <v>124</v>
      </c>
      <c r="B27" s="152">
        <v>79.5</v>
      </c>
    </row>
    <row r="28" spans="1:2" ht="19.5" customHeight="1">
      <c r="A28" s="133" t="s">
        <v>125</v>
      </c>
      <c r="B28" s="152">
        <v>92.5</v>
      </c>
    </row>
    <row r="29" spans="1:2" ht="19.5" customHeight="1">
      <c r="A29" s="133"/>
    </row>
    <row r="30" spans="1:2" ht="19.5" customHeight="1">
      <c r="A30" s="137" t="s">
        <v>126</v>
      </c>
    </row>
    <row r="31" spans="1:2" ht="18.75" customHeight="1">
      <c r="A31" s="133" t="s">
        <v>127</v>
      </c>
      <c r="B31" s="152">
        <v>9</v>
      </c>
    </row>
    <row r="32" spans="1:2" ht="18.75" customHeight="1">
      <c r="A32" s="133" t="s">
        <v>128</v>
      </c>
      <c r="B32" s="152">
        <v>18.55</v>
      </c>
    </row>
    <row r="33" spans="1:2" ht="18.75" customHeight="1">
      <c r="A33" s="133" t="s">
        <v>129</v>
      </c>
      <c r="B33" s="152">
        <v>18.55</v>
      </c>
    </row>
    <row r="34" spans="1:2" ht="18.75" customHeight="1">
      <c r="A34" s="133" t="s">
        <v>130</v>
      </c>
      <c r="B34" s="152">
        <v>21.200000000000003</v>
      </c>
    </row>
    <row r="35" spans="1:2" ht="31.5" customHeight="1">
      <c r="A35" s="138" t="s">
        <v>131</v>
      </c>
      <c r="B35" s="152">
        <v>79.5</v>
      </c>
    </row>
    <row r="36" spans="1:2" ht="19.5" customHeight="1">
      <c r="A36" s="134" t="s">
        <v>132</v>
      </c>
      <c r="B36" s="152">
        <v>18.55</v>
      </c>
    </row>
    <row r="37" spans="1:2" ht="19.5" customHeight="1">
      <c r="A37" s="113"/>
    </row>
    <row r="38" spans="1:2">
      <c r="A38" s="113"/>
    </row>
    <row r="39" spans="1:2">
      <c r="A39" s="113"/>
    </row>
    <row r="40" spans="1:2">
      <c r="A40" s="113"/>
    </row>
    <row r="41" spans="1:2">
      <c r="A41" s="113"/>
    </row>
    <row r="42" spans="1:2">
      <c r="A42" s="113"/>
    </row>
    <row r="43" spans="1:2">
      <c r="A43" s="113"/>
    </row>
    <row r="44" spans="1:2">
      <c r="A44" s="113"/>
    </row>
    <row r="45" spans="1:2">
      <c r="A45" s="113"/>
    </row>
    <row r="46" spans="1:2">
      <c r="A46" s="116"/>
    </row>
  </sheetData>
  <mergeCells count="3">
    <mergeCell ref="A5:D5"/>
    <mergeCell ref="A6:D6"/>
    <mergeCell ref="A7:D7"/>
  </mergeCells>
  <printOptions horizontalCentered="1"/>
  <pageMargins left="0.23622047244094499" right="0.23622047244094499" top="0.55118110236220497" bottom="0" header="0.31496062992126" footer="0.118110236220472"/>
  <pageSetup scale="78" orientation="portrait" r:id="rId1"/>
  <headerFooter>
    <oddFooter>&amp;L&amp;P&amp;RApril 4, 2025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329C-376B-48EC-9ACC-2BE44CB4393B}">
  <sheetPr>
    <tabColor theme="9" tint="0.59999389629810485"/>
    <pageSetUpPr fitToPage="1"/>
  </sheetPr>
  <dimension ref="A1:H32"/>
  <sheetViews>
    <sheetView view="pageBreakPreview" zoomScale="80" zoomScaleNormal="100" zoomScaleSheetLayoutView="80" workbookViewId="0">
      <selection activeCell="B3" sqref="B3:E3"/>
    </sheetView>
  </sheetViews>
  <sheetFormatPr defaultColWidth="11.53515625" defaultRowHeight="15.5"/>
  <cols>
    <col min="1" max="1" width="11.53515625" style="105"/>
    <col min="2" max="2" width="15" style="105" customWidth="1"/>
    <col min="3" max="7" width="13.69140625" style="105" customWidth="1"/>
    <col min="8" max="16384" width="11.53515625" style="105"/>
  </cols>
  <sheetData>
    <row r="1" spans="1:6" s="87" customFormat="1" ht="85.25" customHeight="1">
      <c r="A1" s="210"/>
      <c r="B1" s="210"/>
      <c r="C1" s="210"/>
      <c r="D1" s="210"/>
      <c r="E1" s="210"/>
      <c r="F1" s="210"/>
    </row>
    <row r="2" spans="1:6" s="87" customFormat="1" ht="101.25" customHeight="1">
      <c r="A2" s="211"/>
    </row>
    <row r="3" spans="1:6" s="87" customFormat="1" ht="16.5" customHeight="1">
      <c r="A3" s="211"/>
    </row>
    <row r="4" spans="1:6" s="87" customFormat="1" ht="12.5">
      <c r="A4" s="211"/>
    </row>
    <row r="5" spans="1:6" s="87" customFormat="1" ht="12.5">
      <c r="A5" s="211"/>
    </row>
    <row r="6" spans="1:6" s="87" customFormat="1" ht="10.5" customHeight="1">
      <c r="A6" s="211"/>
    </row>
    <row r="7" spans="1:6" s="87" customFormat="1" ht="13" thickBot="1">
      <c r="A7" s="211"/>
    </row>
    <row r="8" spans="1:6" s="87" customFormat="1" ht="15" thickTop="1" thickBot="1">
      <c r="A8" s="211"/>
      <c r="B8" s="88" t="s">
        <v>24</v>
      </c>
      <c r="C8" s="88" t="s">
        <v>13</v>
      </c>
      <c r="D8" s="89"/>
      <c r="E8" s="89"/>
      <c r="F8" s="90"/>
    </row>
    <row r="9" spans="1:6" s="87" customFormat="1" ht="3.75" customHeight="1" thickTop="1" thickBot="1">
      <c r="A9" s="211"/>
      <c r="B9" s="91"/>
      <c r="C9" s="92"/>
      <c r="D9" s="93"/>
      <c r="E9" s="93"/>
      <c r="F9" s="93"/>
    </row>
    <row r="10" spans="1:6" s="87" customFormat="1" ht="25.5" customHeight="1" thickTop="1">
      <c r="A10" s="94" t="s">
        <v>98</v>
      </c>
      <c r="B10" s="95" t="s">
        <v>15</v>
      </c>
      <c r="C10" s="96" t="s">
        <v>16</v>
      </c>
      <c r="D10" s="97"/>
      <c r="E10" s="97"/>
      <c r="F10" s="97"/>
    </row>
    <row r="11" spans="1:6" s="87" customFormat="1" ht="23.25" customHeight="1">
      <c r="A11" s="94" t="s">
        <v>99</v>
      </c>
      <c r="B11" s="95" t="s">
        <v>15</v>
      </c>
      <c r="C11" s="96" t="s">
        <v>16</v>
      </c>
      <c r="D11" s="97"/>
      <c r="E11" s="97"/>
      <c r="F11" s="97"/>
    </row>
    <row r="12" spans="1:6" s="87" customFormat="1" ht="23.25" customHeight="1">
      <c r="B12" s="98"/>
      <c r="C12" s="98"/>
      <c r="D12" s="98"/>
      <c r="E12" s="98"/>
    </row>
    <row r="13" spans="1:6" s="87" customFormat="1" ht="105.75" customHeight="1">
      <c r="A13" s="212" t="s">
        <v>100</v>
      </c>
    </row>
    <row r="14" spans="1:6" s="87" customFormat="1" ht="16.5" customHeight="1">
      <c r="A14" s="212"/>
    </row>
    <row r="15" spans="1:6" s="87" customFormat="1" ht="15.75" customHeight="1">
      <c r="A15" s="212"/>
    </row>
    <row r="16" spans="1:6" s="87" customFormat="1" ht="12.5">
      <c r="A16" s="212"/>
    </row>
    <row r="17" spans="1:8" s="87" customFormat="1" ht="13" thickBot="1">
      <c r="A17" s="212"/>
    </row>
    <row r="18" spans="1:8" s="87" customFormat="1" ht="14.5" thickTop="1">
      <c r="B18" s="100" t="s">
        <v>29</v>
      </c>
      <c r="C18" s="99" t="s">
        <v>17</v>
      </c>
      <c r="D18" s="100" t="s">
        <v>14</v>
      </c>
    </row>
    <row r="19" spans="1:8" s="87" customFormat="1" ht="3.75" customHeight="1" thickBot="1">
      <c r="B19" s="91"/>
      <c r="C19" s="91"/>
      <c r="D19" s="91"/>
    </row>
    <row r="20" spans="1:8" s="87" customFormat="1" ht="22.5" customHeight="1" thickTop="1">
      <c r="A20" s="94" t="s">
        <v>98</v>
      </c>
      <c r="B20" s="102" t="s">
        <v>15</v>
      </c>
      <c r="C20" s="101" t="s">
        <v>15</v>
      </c>
      <c r="D20" s="101" t="s">
        <v>15</v>
      </c>
    </row>
    <row r="21" spans="1:8" s="87" customFormat="1" ht="20.25" customHeight="1">
      <c r="A21" s="94" t="s">
        <v>99</v>
      </c>
      <c r="B21" s="101" t="s">
        <v>15</v>
      </c>
      <c r="C21" s="101" t="s">
        <v>15</v>
      </c>
      <c r="D21" s="101" t="s">
        <v>15</v>
      </c>
    </row>
    <row r="22" spans="1:8" s="87" customFormat="1" ht="25.5" customHeight="1">
      <c r="C22" s="103"/>
    </row>
    <row r="23" spans="1:8" s="87" customFormat="1" ht="105.75" customHeight="1">
      <c r="A23" s="212" t="s">
        <v>100</v>
      </c>
    </row>
    <row r="24" spans="1:8" s="87" customFormat="1" ht="16.5" customHeight="1">
      <c r="A24" s="212"/>
    </row>
    <row r="25" spans="1:8" s="87" customFormat="1" ht="15.75" customHeight="1">
      <c r="A25" s="212"/>
    </row>
    <row r="26" spans="1:8" s="87" customFormat="1" ht="12.5">
      <c r="A26" s="212"/>
    </row>
    <row r="27" spans="1:8" s="87" customFormat="1" ht="25.25" customHeight="1" thickBot="1">
      <c r="A27" s="212"/>
    </row>
    <row r="28" spans="1:8" s="87" customFormat="1" ht="14.5" thickTop="1">
      <c r="B28" s="100" t="s">
        <v>18</v>
      </c>
      <c r="C28" s="100" t="s">
        <v>20</v>
      </c>
      <c r="D28" s="100" t="s">
        <v>22</v>
      </c>
      <c r="E28" s="100" t="s">
        <v>25</v>
      </c>
      <c r="F28" s="100" t="s">
        <v>31</v>
      </c>
      <c r="G28" s="89"/>
      <c r="H28" s="89"/>
    </row>
    <row r="29" spans="1:8" s="87" customFormat="1" ht="3.75" customHeight="1" thickBot="1">
      <c r="B29" s="91"/>
      <c r="C29" s="91"/>
      <c r="D29" s="91"/>
      <c r="E29" s="91"/>
      <c r="F29" s="91"/>
      <c r="G29" s="93"/>
      <c r="H29" s="93"/>
    </row>
    <row r="30" spans="1:8" s="87" customFormat="1" ht="21" customHeight="1" thickTop="1">
      <c r="A30" s="94" t="s">
        <v>98</v>
      </c>
      <c r="B30" s="101" t="s">
        <v>19</v>
      </c>
      <c r="C30" s="101" t="s">
        <v>15</v>
      </c>
      <c r="D30" s="101" t="s">
        <v>15</v>
      </c>
      <c r="E30" s="101" t="s">
        <v>15</v>
      </c>
      <c r="F30" s="101" t="s">
        <v>15</v>
      </c>
      <c r="G30" s="104"/>
      <c r="H30" s="104"/>
    </row>
    <row r="31" spans="1:8" s="87" customFormat="1" ht="19.25" customHeight="1">
      <c r="A31" s="94" t="s">
        <v>99</v>
      </c>
      <c r="B31" s="96" t="s">
        <v>19</v>
      </c>
      <c r="C31" s="101" t="s">
        <v>15</v>
      </c>
      <c r="D31" s="96" t="s">
        <v>19</v>
      </c>
      <c r="E31" s="101" t="s">
        <v>15</v>
      </c>
      <c r="F31" s="96" t="s">
        <v>19</v>
      </c>
      <c r="G31" s="97"/>
      <c r="H31" s="97"/>
    </row>
    <row r="32" spans="1:8" s="87" customFormat="1" ht="30.75" customHeight="1"/>
  </sheetData>
  <mergeCells count="4">
    <mergeCell ref="A1:F1"/>
    <mergeCell ref="A2:A9"/>
    <mergeCell ref="A13:A17"/>
    <mergeCell ref="A23:A27"/>
  </mergeCells>
  <printOptions horizontalCentered="1"/>
  <pageMargins left="0.23622047244094499" right="0.23622047244094499" top="0.55118110236220497" bottom="0" header="0.31496062992126" footer="0.118110236220472"/>
  <pageSetup scale="92" orientation="portrait" r:id="rId1"/>
  <headerFooter>
    <oddFooter>&amp;L&amp;P&amp;RApril 4, 2025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24E8-E6EB-4C97-A7A6-F739D7FBD077}">
  <sheetPr>
    <tabColor theme="9" tint="0.59999389629810485"/>
  </sheetPr>
  <dimension ref="A2:O59"/>
  <sheetViews>
    <sheetView view="pageBreakPreview" zoomScale="80" zoomScaleNormal="100" zoomScaleSheetLayoutView="80" workbookViewId="0">
      <selection activeCell="B3" sqref="B3:E3"/>
    </sheetView>
  </sheetViews>
  <sheetFormatPr defaultColWidth="8.69140625" defaultRowHeight="13"/>
  <cols>
    <col min="1" max="1" width="23.23046875" style="77" customWidth="1"/>
    <col min="2" max="2" width="6.07421875" style="7" customWidth="1"/>
    <col min="3" max="15" width="5.4609375" style="77" customWidth="1"/>
    <col min="16" max="16384" width="8.69140625" style="77"/>
  </cols>
  <sheetData>
    <row r="2" spans="1:15" ht="102" customHeight="1">
      <c r="A2" s="76"/>
      <c r="D2" s="224" t="s">
        <v>141</v>
      </c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3" spans="1:15" ht="33" customHeight="1">
      <c r="A3" s="225" t="s">
        <v>142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</row>
    <row r="4" spans="1:15" ht="32.5" customHeight="1" thickBot="1">
      <c r="A4" s="153" t="s">
        <v>68</v>
      </c>
      <c r="B4" s="154"/>
      <c r="C4" s="154" t="s">
        <v>67</v>
      </c>
      <c r="D4" s="154" t="s">
        <v>66</v>
      </c>
      <c r="E4" s="154" t="s">
        <v>65</v>
      </c>
      <c r="F4" s="154" t="s">
        <v>64</v>
      </c>
      <c r="G4" s="154" t="s">
        <v>63</v>
      </c>
      <c r="H4" s="154" t="s">
        <v>62</v>
      </c>
      <c r="I4" s="154" t="s">
        <v>61</v>
      </c>
      <c r="J4" s="154" t="s">
        <v>60</v>
      </c>
      <c r="K4" s="154" t="s">
        <v>59</v>
      </c>
      <c r="L4" s="154" t="s">
        <v>58</v>
      </c>
      <c r="M4" s="154" t="s">
        <v>57</v>
      </c>
      <c r="N4" s="154" t="s">
        <v>56</v>
      </c>
      <c r="O4" s="154" t="s">
        <v>55</v>
      </c>
    </row>
    <row r="5" spans="1:15" ht="20.5" customHeight="1" thickBot="1">
      <c r="A5" s="223" t="s">
        <v>31</v>
      </c>
      <c r="B5" s="155" t="s">
        <v>53</v>
      </c>
      <c r="C5" s="156" t="s">
        <v>50</v>
      </c>
      <c r="D5" s="157" t="s">
        <v>50</v>
      </c>
      <c r="E5" s="158" t="s">
        <v>50</v>
      </c>
      <c r="F5" s="157" t="s">
        <v>50</v>
      </c>
      <c r="G5" s="158" t="s">
        <v>50</v>
      </c>
      <c r="H5" s="157" t="s">
        <v>50</v>
      </c>
      <c r="I5" s="158" t="s">
        <v>50</v>
      </c>
      <c r="J5" s="157" t="s">
        <v>50</v>
      </c>
      <c r="K5" s="158" t="s">
        <v>50</v>
      </c>
      <c r="L5" s="157" t="s">
        <v>50</v>
      </c>
      <c r="M5" s="158" t="s">
        <v>50</v>
      </c>
      <c r="N5" s="157" t="s">
        <v>50</v>
      </c>
      <c r="O5" s="159" t="s">
        <v>50</v>
      </c>
    </row>
    <row r="6" spans="1:15" ht="20.5" customHeight="1" thickBot="1">
      <c r="A6" s="223"/>
      <c r="B6" s="155" t="s">
        <v>52</v>
      </c>
      <c r="C6" s="160"/>
      <c r="D6" s="161"/>
      <c r="E6" s="162" t="s">
        <v>50</v>
      </c>
      <c r="F6" s="163" t="s">
        <v>50</v>
      </c>
      <c r="G6" s="162" t="s">
        <v>50</v>
      </c>
      <c r="H6" s="163" t="s">
        <v>50</v>
      </c>
      <c r="I6" s="162" t="s">
        <v>50</v>
      </c>
      <c r="J6" s="163" t="s">
        <v>50</v>
      </c>
      <c r="K6" s="162" t="s">
        <v>50</v>
      </c>
      <c r="L6" s="163" t="s">
        <v>50</v>
      </c>
      <c r="M6" s="162" t="s">
        <v>50</v>
      </c>
      <c r="N6" s="163" t="s">
        <v>50</v>
      </c>
      <c r="O6" s="164" t="s">
        <v>50</v>
      </c>
    </row>
    <row r="7" spans="1:15" ht="20.5" customHeight="1" thickBot="1">
      <c r="A7" s="223"/>
      <c r="B7" s="155" t="s">
        <v>51</v>
      </c>
      <c r="C7" s="165"/>
      <c r="D7" s="166"/>
      <c r="E7" s="167" t="s">
        <v>50</v>
      </c>
      <c r="F7" s="168" t="s">
        <v>50</v>
      </c>
      <c r="G7" s="167" t="s">
        <v>50</v>
      </c>
      <c r="H7" s="168" t="s">
        <v>50</v>
      </c>
      <c r="I7" s="167" t="s">
        <v>50</v>
      </c>
      <c r="J7" s="168" t="s">
        <v>50</v>
      </c>
      <c r="K7" s="167" t="s">
        <v>50</v>
      </c>
      <c r="L7" s="168" t="s">
        <v>50</v>
      </c>
      <c r="M7" s="167" t="s">
        <v>50</v>
      </c>
      <c r="N7" s="168" t="s">
        <v>50</v>
      </c>
      <c r="O7" s="169" t="s">
        <v>50</v>
      </c>
    </row>
    <row r="8" spans="1:15" ht="20.5" customHeight="1" thickBot="1">
      <c r="A8" s="223" t="s">
        <v>13</v>
      </c>
      <c r="B8" s="155" t="s">
        <v>53</v>
      </c>
      <c r="C8" s="156" t="s">
        <v>50</v>
      </c>
      <c r="D8" s="157" t="s">
        <v>50</v>
      </c>
      <c r="E8" s="158" t="s">
        <v>50</v>
      </c>
      <c r="F8" s="157" t="s">
        <v>50</v>
      </c>
      <c r="G8" s="158" t="s">
        <v>50</v>
      </c>
      <c r="H8" s="157" t="s">
        <v>50</v>
      </c>
      <c r="I8" s="158" t="s">
        <v>50</v>
      </c>
      <c r="J8" s="157" t="s">
        <v>50</v>
      </c>
      <c r="K8" s="158" t="s">
        <v>50</v>
      </c>
      <c r="L8" s="157" t="s">
        <v>50</v>
      </c>
      <c r="M8" s="158" t="s">
        <v>50</v>
      </c>
      <c r="N8" s="157" t="s">
        <v>50</v>
      </c>
      <c r="O8" s="159" t="s">
        <v>50</v>
      </c>
    </row>
    <row r="9" spans="1:15" ht="20.5" customHeight="1" thickBot="1">
      <c r="A9" s="223"/>
      <c r="B9" s="155" t="s">
        <v>52</v>
      </c>
      <c r="C9" s="160"/>
      <c r="D9" s="161"/>
      <c r="E9" s="170"/>
      <c r="F9" s="161"/>
      <c r="G9" s="170"/>
      <c r="H9" s="161"/>
      <c r="I9" s="170"/>
      <c r="J9" s="161"/>
      <c r="K9" s="170"/>
      <c r="L9" s="161"/>
      <c r="M9" s="170"/>
      <c r="N9" s="161"/>
      <c r="O9" s="171"/>
    </row>
    <row r="10" spans="1:15" ht="20.5" customHeight="1" thickBot="1">
      <c r="A10" s="223"/>
      <c r="B10" s="155" t="s">
        <v>51</v>
      </c>
      <c r="C10" s="165"/>
      <c r="D10" s="166"/>
      <c r="E10" s="172"/>
      <c r="F10" s="166"/>
      <c r="G10" s="172"/>
      <c r="H10" s="166"/>
      <c r="I10" s="172"/>
      <c r="J10" s="166"/>
      <c r="K10" s="172"/>
      <c r="L10" s="166"/>
      <c r="M10" s="172"/>
      <c r="N10" s="166"/>
      <c r="O10" s="173"/>
    </row>
    <row r="11" spans="1:15" ht="20.5" customHeight="1" thickBot="1">
      <c r="A11" s="223" t="s">
        <v>29</v>
      </c>
      <c r="B11" s="155" t="s">
        <v>53</v>
      </c>
      <c r="C11" s="174" t="s">
        <v>50</v>
      </c>
      <c r="D11" s="175" t="s">
        <v>50</v>
      </c>
      <c r="E11" s="176" t="s">
        <v>50</v>
      </c>
      <c r="F11" s="175" t="s">
        <v>50</v>
      </c>
      <c r="G11" s="176" t="s">
        <v>50</v>
      </c>
      <c r="H11" s="175" t="s">
        <v>50</v>
      </c>
      <c r="I11" s="176" t="s">
        <v>50</v>
      </c>
      <c r="J11" s="175" t="s">
        <v>50</v>
      </c>
      <c r="K11" s="176" t="s">
        <v>50</v>
      </c>
      <c r="L11" s="175" t="s">
        <v>50</v>
      </c>
      <c r="M11" s="176" t="s">
        <v>50</v>
      </c>
      <c r="N11" s="175" t="s">
        <v>50</v>
      </c>
      <c r="O11" s="177" t="s">
        <v>50</v>
      </c>
    </row>
    <row r="12" spans="1:15" ht="20.5" customHeight="1" thickBot="1">
      <c r="A12" s="223"/>
      <c r="B12" s="155" t="s">
        <v>52</v>
      </c>
      <c r="C12" s="178" t="s">
        <v>50</v>
      </c>
      <c r="D12" s="163" t="s">
        <v>50</v>
      </c>
      <c r="E12" s="162" t="s">
        <v>50</v>
      </c>
      <c r="F12" s="163" t="s">
        <v>50</v>
      </c>
      <c r="G12" s="162" t="s">
        <v>50</v>
      </c>
      <c r="H12" s="163" t="s">
        <v>50</v>
      </c>
      <c r="I12" s="162" t="s">
        <v>50</v>
      </c>
      <c r="J12" s="163" t="s">
        <v>50</v>
      </c>
      <c r="K12" s="162" t="s">
        <v>50</v>
      </c>
      <c r="L12" s="163" t="s">
        <v>50</v>
      </c>
      <c r="M12" s="162" t="s">
        <v>50</v>
      </c>
      <c r="N12" s="163" t="s">
        <v>50</v>
      </c>
      <c r="O12" s="164" t="s">
        <v>50</v>
      </c>
    </row>
    <row r="13" spans="1:15" ht="20.5" customHeight="1" thickBot="1">
      <c r="A13" s="223"/>
      <c r="B13" s="155" t="s">
        <v>51</v>
      </c>
      <c r="C13" s="179"/>
      <c r="D13" s="180"/>
      <c r="E13" s="176" t="s">
        <v>50</v>
      </c>
      <c r="F13" s="175" t="s">
        <v>50</v>
      </c>
      <c r="G13" s="176" t="s">
        <v>50</v>
      </c>
      <c r="H13" s="175" t="s">
        <v>50</v>
      </c>
      <c r="I13" s="176" t="s">
        <v>50</v>
      </c>
      <c r="J13" s="175" t="s">
        <v>50</v>
      </c>
      <c r="K13" s="176" t="s">
        <v>50</v>
      </c>
      <c r="L13" s="175" t="s">
        <v>50</v>
      </c>
      <c r="M13" s="176" t="s">
        <v>50</v>
      </c>
      <c r="N13" s="175" t="s">
        <v>50</v>
      </c>
      <c r="O13" s="177" t="s">
        <v>50</v>
      </c>
    </row>
    <row r="14" spans="1:15" ht="20.5" customHeight="1" thickBot="1">
      <c r="A14" s="226" t="s">
        <v>54</v>
      </c>
      <c r="B14" s="155" t="s">
        <v>53</v>
      </c>
      <c r="C14" s="181" t="s">
        <v>50</v>
      </c>
      <c r="D14" s="182" t="s">
        <v>50</v>
      </c>
      <c r="E14" s="183" t="s">
        <v>50</v>
      </c>
      <c r="F14" s="182" t="s">
        <v>50</v>
      </c>
      <c r="G14" s="183" t="s">
        <v>50</v>
      </c>
      <c r="H14" s="182" t="s">
        <v>50</v>
      </c>
      <c r="I14" s="183" t="s">
        <v>50</v>
      </c>
      <c r="J14" s="182" t="s">
        <v>50</v>
      </c>
      <c r="K14" s="183" t="s">
        <v>50</v>
      </c>
      <c r="L14" s="182" t="s">
        <v>50</v>
      </c>
      <c r="M14" s="183" t="s">
        <v>50</v>
      </c>
      <c r="N14" s="182" t="s">
        <v>50</v>
      </c>
      <c r="O14" s="184" t="s">
        <v>50</v>
      </c>
    </row>
    <row r="15" spans="1:15" ht="20.5" customHeight="1" thickBot="1">
      <c r="A15" s="227"/>
      <c r="B15" s="155" t="s">
        <v>52</v>
      </c>
      <c r="C15" s="178" t="s">
        <v>50</v>
      </c>
      <c r="D15" s="163" t="s">
        <v>50</v>
      </c>
      <c r="E15" s="162" t="s">
        <v>50</v>
      </c>
      <c r="F15" s="163" t="s">
        <v>50</v>
      </c>
      <c r="G15" s="162" t="s">
        <v>50</v>
      </c>
      <c r="H15" s="163" t="s">
        <v>50</v>
      </c>
      <c r="I15" s="162" t="s">
        <v>50</v>
      </c>
      <c r="J15" s="163" t="s">
        <v>50</v>
      </c>
      <c r="K15" s="162" t="s">
        <v>50</v>
      </c>
      <c r="L15" s="163" t="s">
        <v>50</v>
      </c>
      <c r="M15" s="162" t="s">
        <v>50</v>
      </c>
      <c r="N15" s="163" t="s">
        <v>50</v>
      </c>
      <c r="O15" s="164" t="s">
        <v>50</v>
      </c>
    </row>
    <row r="16" spans="1:15" ht="20.5" customHeight="1" thickBot="1">
      <c r="A16" s="228"/>
      <c r="B16" s="155" t="s">
        <v>51</v>
      </c>
      <c r="C16" s="165"/>
      <c r="D16" s="166"/>
      <c r="E16" s="167" t="s">
        <v>50</v>
      </c>
      <c r="F16" s="185" t="s">
        <v>50</v>
      </c>
      <c r="G16" s="167" t="s">
        <v>50</v>
      </c>
      <c r="H16" s="168" t="s">
        <v>50</v>
      </c>
      <c r="I16" s="167" t="s">
        <v>50</v>
      </c>
      <c r="J16" s="168" t="s">
        <v>50</v>
      </c>
      <c r="K16" s="167" t="s">
        <v>50</v>
      </c>
      <c r="L16" s="168" t="s">
        <v>50</v>
      </c>
      <c r="M16" s="167" t="s">
        <v>50</v>
      </c>
      <c r="N16" s="168" t="s">
        <v>50</v>
      </c>
      <c r="O16" s="169" t="s">
        <v>50</v>
      </c>
    </row>
    <row r="17" spans="1:15" ht="20.5" customHeight="1" thickBot="1">
      <c r="A17" s="223" t="s">
        <v>22</v>
      </c>
      <c r="B17" s="155" t="s">
        <v>53</v>
      </c>
      <c r="C17" s="156" t="s">
        <v>50</v>
      </c>
      <c r="D17" s="157" t="s">
        <v>50</v>
      </c>
      <c r="E17" s="158" t="s">
        <v>50</v>
      </c>
      <c r="F17" s="157" t="s">
        <v>50</v>
      </c>
      <c r="G17" s="158" t="s">
        <v>50</v>
      </c>
      <c r="H17" s="157" t="s">
        <v>50</v>
      </c>
      <c r="I17" s="158" t="s">
        <v>50</v>
      </c>
      <c r="J17" s="157" t="s">
        <v>50</v>
      </c>
      <c r="K17" s="158" t="s">
        <v>50</v>
      </c>
      <c r="L17" s="157" t="s">
        <v>50</v>
      </c>
      <c r="M17" s="158" t="s">
        <v>50</v>
      </c>
      <c r="N17" s="157" t="s">
        <v>50</v>
      </c>
      <c r="O17" s="159" t="s">
        <v>50</v>
      </c>
    </row>
    <row r="18" spans="1:15" ht="20.5" customHeight="1" thickBot="1">
      <c r="A18" s="223"/>
      <c r="B18" s="155" t="s">
        <v>52</v>
      </c>
      <c r="C18" s="178" t="s">
        <v>50</v>
      </c>
      <c r="D18" s="163" t="s">
        <v>50</v>
      </c>
      <c r="E18" s="162" t="s">
        <v>50</v>
      </c>
      <c r="F18" s="163" t="s">
        <v>50</v>
      </c>
      <c r="G18" s="162" t="s">
        <v>50</v>
      </c>
      <c r="H18" s="163" t="s">
        <v>50</v>
      </c>
      <c r="I18" s="162" t="s">
        <v>50</v>
      </c>
      <c r="J18" s="163" t="s">
        <v>50</v>
      </c>
      <c r="K18" s="162" t="s">
        <v>50</v>
      </c>
      <c r="L18" s="163" t="s">
        <v>50</v>
      </c>
      <c r="M18" s="162" t="s">
        <v>50</v>
      </c>
      <c r="N18" s="163" t="s">
        <v>50</v>
      </c>
      <c r="O18" s="164" t="s">
        <v>50</v>
      </c>
    </row>
    <row r="19" spans="1:15" ht="20.5" customHeight="1" thickBot="1">
      <c r="A19" s="223"/>
      <c r="B19" s="155" t="s">
        <v>51</v>
      </c>
      <c r="C19" s="165"/>
      <c r="D19" s="166"/>
      <c r="E19" s="167" t="s">
        <v>50</v>
      </c>
      <c r="F19" s="168" t="s">
        <v>50</v>
      </c>
      <c r="G19" s="167" t="s">
        <v>50</v>
      </c>
      <c r="H19" s="168" t="s">
        <v>50</v>
      </c>
      <c r="I19" s="167" t="s">
        <v>50</v>
      </c>
      <c r="J19" s="168" t="s">
        <v>50</v>
      </c>
      <c r="K19" s="167" t="s">
        <v>50</v>
      </c>
      <c r="L19" s="168" t="s">
        <v>50</v>
      </c>
      <c r="M19" s="167" t="s">
        <v>50</v>
      </c>
      <c r="N19" s="168" t="s">
        <v>50</v>
      </c>
      <c r="O19" s="169" t="s">
        <v>50</v>
      </c>
    </row>
    <row r="20" spans="1:15" ht="20.5" customHeight="1" thickBot="1">
      <c r="A20" s="229" t="s">
        <v>18</v>
      </c>
      <c r="B20" s="155" t="s">
        <v>53</v>
      </c>
      <c r="C20" s="186" t="s">
        <v>50</v>
      </c>
      <c r="D20" s="187" t="s">
        <v>50</v>
      </c>
      <c r="E20" s="188" t="s">
        <v>50</v>
      </c>
      <c r="F20" s="187" t="s">
        <v>50</v>
      </c>
      <c r="G20" s="189" t="s">
        <v>50</v>
      </c>
      <c r="H20" s="187" t="s">
        <v>50</v>
      </c>
      <c r="I20" s="188" t="s">
        <v>50</v>
      </c>
      <c r="J20" s="190" t="s">
        <v>50</v>
      </c>
      <c r="K20" s="188" t="s">
        <v>50</v>
      </c>
      <c r="L20" s="190" t="s">
        <v>50</v>
      </c>
      <c r="M20" s="188" t="s">
        <v>50</v>
      </c>
      <c r="N20" s="190" t="s">
        <v>50</v>
      </c>
      <c r="O20" s="191" t="s">
        <v>50</v>
      </c>
    </row>
    <row r="21" spans="1:15" ht="20.5" customHeight="1" thickBot="1">
      <c r="A21" s="230"/>
      <c r="B21" s="155" t="s">
        <v>52</v>
      </c>
      <c r="C21" s="192" t="s">
        <v>50</v>
      </c>
      <c r="D21" s="193" t="s">
        <v>50</v>
      </c>
      <c r="E21" s="194" t="s">
        <v>50</v>
      </c>
      <c r="F21" s="193" t="s">
        <v>50</v>
      </c>
      <c r="G21" s="195" t="s">
        <v>50</v>
      </c>
      <c r="H21" s="193" t="s">
        <v>50</v>
      </c>
      <c r="I21" s="194" t="s">
        <v>50</v>
      </c>
      <c r="J21" s="196" t="s">
        <v>50</v>
      </c>
      <c r="K21" s="194" t="s">
        <v>50</v>
      </c>
      <c r="L21" s="196" t="s">
        <v>50</v>
      </c>
      <c r="M21" s="194" t="s">
        <v>50</v>
      </c>
      <c r="N21" s="196" t="s">
        <v>50</v>
      </c>
      <c r="O21" s="197" t="s">
        <v>50</v>
      </c>
    </row>
    <row r="22" spans="1:15" ht="20.5" customHeight="1" thickBot="1">
      <c r="A22" s="231"/>
      <c r="B22" s="155" t="s">
        <v>51</v>
      </c>
      <c r="C22" s="165"/>
      <c r="D22" s="166"/>
      <c r="E22" s="172"/>
      <c r="F22" s="166"/>
      <c r="G22" s="172"/>
      <c r="H22" s="166"/>
      <c r="I22" s="172"/>
      <c r="J22" s="166"/>
      <c r="K22" s="172"/>
      <c r="L22" s="166"/>
      <c r="M22" s="172"/>
      <c r="N22" s="166"/>
      <c r="O22" s="173"/>
    </row>
    <row r="23" spans="1:15" ht="20.5" customHeight="1" thickBot="1">
      <c r="A23" s="229" t="s">
        <v>20</v>
      </c>
      <c r="B23" s="155" t="s">
        <v>53</v>
      </c>
      <c r="C23" s="156" t="s">
        <v>50</v>
      </c>
      <c r="D23" s="157" t="s">
        <v>50</v>
      </c>
      <c r="E23" s="158" t="s">
        <v>50</v>
      </c>
      <c r="F23" s="157" t="s">
        <v>50</v>
      </c>
      <c r="G23" s="158" t="s">
        <v>50</v>
      </c>
      <c r="H23" s="157" t="s">
        <v>50</v>
      </c>
      <c r="I23" s="158" t="s">
        <v>50</v>
      </c>
      <c r="J23" s="157" t="s">
        <v>50</v>
      </c>
      <c r="K23" s="158" t="s">
        <v>50</v>
      </c>
      <c r="L23" s="157" t="s">
        <v>50</v>
      </c>
      <c r="M23" s="158" t="s">
        <v>50</v>
      </c>
      <c r="N23" s="157" t="s">
        <v>50</v>
      </c>
      <c r="O23" s="159" t="s">
        <v>50</v>
      </c>
    </row>
    <row r="24" spans="1:15" ht="20.5" customHeight="1" thickBot="1">
      <c r="A24" s="230"/>
      <c r="B24" s="155" t="s">
        <v>52</v>
      </c>
      <c r="C24" s="178" t="s">
        <v>50</v>
      </c>
      <c r="D24" s="163" t="s">
        <v>50</v>
      </c>
      <c r="E24" s="162" t="s">
        <v>50</v>
      </c>
      <c r="F24" s="163" t="s">
        <v>50</v>
      </c>
      <c r="G24" s="162" t="s">
        <v>50</v>
      </c>
      <c r="H24" s="163" t="s">
        <v>50</v>
      </c>
      <c r="I24" s="162" t="s">
        <v>50</v>
      </c>
      <c r="J24" s="163" t="s">
        <v>50</v>
      </c>
      <c r="K24" s="162" t="s">
        <v>50</v>
      </c>
      <c r="L24" s="163" t="s">
        <v>50</v>
      </c>
      <c r="M24" s="162" t="s">
        <v>50</v>
      </c>
      <c r="N24" s="163" t="s">
        <v>50</v>
      </c>
      <c r="O24" s="164" t="s">
        <v>50</v>
      </c>
    </row>
    <row r="25" spans="1:15" ht="20.5" customHeight="1" thickBot="1">
      <c r="A25" s="231"/>
      <c r="B25" s="155" t="s">
        <v>51</v>
      </c>
      <c r="C25" s="165"/>
      <c r="D25" s="166"/>
      <c r="E25" s="167" t="s">
        <v>50</v>
      </c>
      <c r="F25" s="168" t="s">
        <v>50</v>
      </c>
      <c r="G25" s="167" t="s">
        <v>50</v>
      </c>
      <c r="H25" s="168" t="s">
        <v>50</v>
      </c>
      <c r="I25" s="167" t="s">
        <v>50</v>
      </c>
      <c r="J25" s="168" t="s">
        <v>50</v>
      </c>
      <c r="K25" s="167" t="s">
        <v>50</v>
      </c>
      <c r="L25" s="168" t="s">
        <v>50</v>
      </c>
      <c r="M25" s="167" t="s">
        <v>50</v>
      </c>
      <c r="N25" s="168" t="s">
        <v>50</v>
      </c>
      <c r="O25" s="169" t="s">
        <v>50</v>
      </c>
    </row>
    <row r="26" spans="1:15" ht="20.5" customHeight="1" thickBot="1">
      <c r="A26" s="223" t="s">
        <v>25</v>
      </c>
      <c r="B26" s="155" t="s">
        <v>53</v>
      </c>
      <c r="C26" s="156" t="s">
        <v>50</v>
      </c>
      <c r="D26" s="157" t="s">
        <v>50</v>
      </c>
      <c r="E26" s="158" t="s">
        <v>50</v>
      </c>
      <c r="F26" s="157" t="s">
        <v>50</v>
      </c>
      <c r="G26" s="158" t="s">
        <v>50</v>
      </c>
      <c r="H26" s="157" t="s">
        <v>50</v>
      </c>
      <c r="I26" s="158" t="s">
        <v>50</v>
      </c>
      <c r="J26" s="157" t="s">
        <v>50</v>
      </c>
      <c r="K26" s="158" t="s">
        <v>50</v>
      </c>
      <c r="L26" s="157" t="s">
        <v>50</v>
      </c>
      <c r="M26" s="158" t="s">
        <v>50</v>
      </c>
      <c r="N26" s="157" t="s">
        <v>50</v>
      </c>
      <c r="O26" s="159" t="s">
        <v>50</v>
      </c>
    </row>
    <row r="27" spans="1:15" ht="20.5" customHeight="1" thickBot="1">
      <c r="A27" s="223"/>
      <c r="B27" s="155" t="s">
        <v>52</v>
      </c>
      <c r="C27" s="198" t="s">
        <v>50</v>
      </c>
      <c r="D27" s="199" t="s">
        <v>50</v>
      </c>
      <c r="E27" s="200" t="s">
        <v>50</v>
      </c>
      <c r="F27" s="199" t="s">
        <v>50</v>
      </c>
      <c r="G27" s="200" t="s">
        <v>50</v>
      </c>
      <c r="H27" s="199" t="s">
        <v>50</v>
      </c>
      <c r="I27" s="200" t="s">
        <v>50</v>
      </c>
      <c r="J27" s="199" t="s">
        <v>50</v>
      </c>
      <c r="K27" s="200" t="s">
        <v>50</v>
      </c>
      <c r="L27" s="199" t="s">
        <v>50</v>
      </c>
      <c r="M27" s="200" t="s">
        <v>50</v>
      </c>
      <c r="N27" s="199" t="s">
        <v>50</v>
      </c>
      <c r="O27" s="201" t="s">
        <v>50</v>
      </c>
    </row>
    <row r="28" spans="1:15" ht="20.5" customHeight="1" thickBot="1">
      <c r="A28" s="223"/>
      <c r="B28" s="155" t="s">
        <v>51</v>
      </c>
      <c r="C28" s="165"/>
      <c r="D28" s="166"/>
      <c r="E28" s="167" t="s">
        <v>50</v>
      </c>
      <c r="F28" s="168" t="s">
        <v>50</v>
      </c>
      <c r="G28" s="167" t="s">
        <v>50</v>
      </c>
      <c r="H28" s="168" t="s">
        <v>50</v>
      </c>
      <c r="I28" s="167" t="s">
        <v>50</v>
      </c>
      <c r="J28" s="168" t="s">
        <v>50</v>
      </c>
      <c r="K28" s="167" t="s">
        <v>50</v>
      </c>
      <c r="L28" s="168" t="s">
        <v>50</v>
      </c>
      <c r="M28" s="167" t="s">
        <v>50</v>
      </c>
      <c r="N28" s="168" t="s">
        <v>50</v>
      </c>
      <c r="O28" s="169" t="s">
        <v>50</v>
      </c>
    </row>
    <row r="29" spans="1:15" ht="20.5" customHeight="1" thickBot="1">
      <c r="A29" s="223" t="s">
        <v>14</v>
      </c>
      <c r="B29" s="155" t="s">
        <v>53</v>
      </c>
      <c r="C29" s="156" t="s">
        <v>50</v>
      </c>
      <c r="D29" s="157" t="s">
        <v>50</v>
      </c>
      <c r="E29" s="158" t="s">
        <v>50</v>
      </c>
      <c r="F29" s="157" t="s">
        <v>50</v>
      </c>
      <c r="G29" s="158" t="s">
        <v>50</v>
      </c>
      <c r="H29" s="157" t="s">
        <v>50</v>
      </c>
      <c r="I29" s="158" t="s">
        <v>50</v>
      </c>
      <c r="J29" s="157" t="s">
        <v>50</v>
      </c>
      <c r="K29" s="158" t="s">
        <v>50</v>
      </c>
      <c r="L29" s="157" t="s">
        <v>50</v>
      </c>
      <c r="M29" s="158" t="s">
        <v>50</v>
      </c>
      <c r="N29" s="157" t="s">
        <v>50</v>
      </c>
      <c r="O29" s="159" t="s">
        <v>50</v>
      </c>
    </row>
    <row r="30" spans="1:15" ht="20.5" customHeight="1" thickBot="1">
      <c r="A30" s="223"/>
      <c r="B30" s="155" t="s">
        <v>52</v>
      </c>
      <c r="C30" s="160"/>
      <c r="D30" s="161"/>
      <c r="E30" s="162" t="s">
        <v>50</v>
      </c>
      <c r="F30" s="163" t="s">
        <v>50</v>
      </c>
      <c r="G30" s="162" t="s">
        <v>50</v>
      </c>
      <c r="H30" s="163" t="s">
        <v>50</v>
      </c>
      <c r="I30" s="162" t="s">
        <v>50</v>
      </c>
      <c r="J30" s="163" t="s">
        <v>50</v>
      </c>
      <c r="K30" s="162" t="s">
        <v>50</v>
      </c>
      <c r="L30" s="163" t="s">
        <v>50</v>
      </c>
      <c r="M30" s="162" t="s">
        <v>50</v>
      </c>
      <c r="N30" s="163" t="s">
        <v>50</v>
      </c>
      <c r="O30" s="164" t="s">
        <v>50</v>
      </c>
    </row>
    <row r="31" spans="1:15" ht="20.5" customHeight="1" thickBot="1">
      <c r="A31" s="223"/>
      <c r="B31" s="155" t="s">
        <v>51</v>
      </c>
      <c r="C31" s="165"/>
      <c r="D31" s="166"/>
      <c r="E31" s="167" t="s">
        <v>50</v>
      </c>
      <c r="F31" s="168" t="s">
        <v>50</v>
      </c>
      <c r="G31" s="167" t="s">
        <v>50</v>
      </c>
      <c r="H31" s="168" t="s">
        <v>50</v>
      </c>
      <c r="I31" s="167" t="s">
        <v>50</v>
      </c>
      <c r="J31" s="168" t="s">
        <v>50</v>
      </c>
      <c r="K31" s="167" t="s">
        <v>50</v>
      </c>
      <c r="L31" s="168" t="s">
        <v>50</v>
      </c>
      <c r="M31" s="167" t="s">
        <v>50</v>
      </c>
      <c r="N31" s="168" t="s">
        <v>50</v>
      </c>
      <c r="O31" s="169" t="s">
        <v>50</v>
      </c>
    </row>
    <row r="32" spans="1:15" ht="20.5" customHeight="1" thickBot="1">
      <c r="A32" s="223" t="s">
        <v>21</v>
      </c>
      <c r="B32" s="155" t="s">
        <v>53</v>
      </c>
      <c r="C32" s="156" t="s">
        <v>50</v>
      </c>
      <c r="D32" s="157" t="s">
        <v>50</v>
      </c>
      <c r="E32" s="158" t="s">
        <v>50</v>
      </c>
      <c r="F32" s="157" t="s">
        <v>50</v>
      </c>
      <c r="G32" s="158" t="s">
        <v>50</v>
      </c>
      <c r="H32" s="157" t="s">
        <v>50</v>
      </c>
      <c r="I32" s="158" t="s">
        <v>50</v>
      </c>
      <c r="J32" s="157" t="s">
        <v>50</v>
      </c>
      <c r="K32" s="158" t="s">
        <v>50</v>
      </c>
      <c r="L32" s="157" t="s">
        <v>50</v>
      </c>
      <c r="M32" s="158" t="s">
        <v>50</v>
      </c>
      <c r="N32" s="157" t="s">
        <v>50</v>
      </c>
      <c r="O32" s="159" t="s">
        <v>50</v>
      </c>
    </row>
    <row r="33" spans="1:15" ht="20.5" customHeight="1" thickBot="1">
      <c r="A33" s="223"/>
      <c r="B33" s="155" t="s">
        <v>52</v>
      </c>
      <c r="C33" s="160"/>
      <c r="D33" s="161"/>
      <c r="E33" s="170"/>
      <c r="F33" s="163" t="s">
        <v>50</v>
      </c>
      <c r="G33" s="162" t="s">
        <v>50</v>
      </c>
      <c r="H33" s="163" t="s">
        <v>50</v>
      </c>
      <c r="I33" s="162" t="s">
        <v>50</v>
      </c>
      <c r="J33" s="163" t="s">
        <v>50</v>
      </c>
      <c r="K33" s="162" t="s">
        <v>50</v>
      </c>
      <c r="L33" s="163" t="s">
        <v>50</v>
      </c>
      <c r="M33" s="162" t="s">
        <v>50</v>
      </c>
      <c r="N33" s="163" t="s">
        <v>50</v>
      </c>
      <c r="O33" s="164" t="s">
        <v>50</v>
      </c>
    </row>
    <row r="34" spans="1:15" ht="20.5" customHeight="1" thickBot="1">
      <c r="A34" s="223"/>
      <c r="B34" s="155" t="s">
        <v>51</v>
      </c>
      <c r="C34" s="165"/>
      <c r="D34" s="166"/>
      <c r="E34" s="167" t="s">
        <v>50</v>
      </c>
      <c r="F34" s="168" t="s">
        <v>50</v>
      </c>
      <c r="G34" s="167" t="s">
        <v>50</v>
      </c>
      <c r="H34" s="168" t="s">
        <v>50</v>
      </c>
      <c r="I34" s="167" t="s">
        <v>50</v>
      </c>
      <c r="J34" s="168" t="s">
        <v>50</v>
      </c>
      <c r="K34" s="167" t="s">
        <v>50</v>
      </c>
      <c r="L34" s="168" t="s">
        <v>50</v>
      </c>
      <c r="M34" s="167" t="s">
        <v>50</v>
      </c>
      <c r="N34" s="168" t="s">
        <v>50</v>
      </c>
      <c r="O34" s="169" t="s">
        <v>50</v>
      </c>
    </row>
    <row r="35" spans="1:15" ht="15.75" customHeight="1">
      <c r="A35" s="202"/>
      <c r="B35" s="203"/>
      <c r="C35" s="217" t="s">
        <v>49</v>
      </c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9"/>
    </row>
    <row r="36" spans="1:15" ht="15.75" customHeight="1" thickBot="1">
      <c r="A36" s="204"/>
      <c r="B36" s="205" t="s">
        <v>48</v>
      </c>
      <c r="C36" s="220" t="s">
        <v>47</v>
      </c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2"/>
    </row>
    <row r="37" spans="1:15" ht="15.75" customHeight="1">
      <c r="C37" s="9"/>
      <c r="D37" s="80"/>
      <c r="E37" s="8"/>
      <c r="M37" s="81"/>
      <c r="N37" s="80"/>
      <c r="O37" s="80"/>
    </row>
    <row r="38" spans="1:15" ht="15.75" customHeight="1">
      <c r="C38" s="9"/>
      <c r="D38" s="80"/>
      <c r="E38" s="8"/>
    </row>
    <row r="39" spans="1:15" ht="15.75" customHeight="1">
      <c r="C39" s="9"/>
      <c r="D39" s="80"/>
      <c r="E39" s="8"/>
      <c r="M39" s="139"/>
    </row>
    <row r="40" spans="1:15" ht="15.75" customHeight="1">
      <c r="C40" s="9"/>
      <c r="D40" s="80"/>
      <c r="E40" s="8"/>
    </row>
    <row r="41" spans="1:15" ht="18" hidden="1" customHeight="1">
      <c r="C41" s="8" t="s">
        <v>46</v>
      </c>
    </row>
    <row r="42" spans="1:15" ht="18" hidden="1" customHeight="1">
      <c r="C42" s="8"/>
    </row>
    <row r="43" spans="1:15" ht="18" hidden="1" customHeight="1">
      <c r="A43" s="82">
        <v>43174</v>
      </c>
      <c r="C43" s="83" t="s">
        <v>45</v>
      </c>
    </row>
    <row r="44" spans="1:15" ht="18" hidden="1" customHeight="1">
      <c r="A44" s="82">
        <v>43047</v>
      </c>
      <c r="C44" s="83" t="s">
        <v>44</v>
      </c>
    </row>
    <row r="45" spans="1:15" ht="18" hidden="1" customHeight="1">
      <c r="A45" s="82">
        <v>42480</v>
      </c>
      <c r="C45" s="83" t="s">
        <v>43</v>
      </c>
    </row>
    <row r="46" spans="1:15" ht="18" hidden="1" customHeight="1">
      <c r="A46" s="82">
        <v>42480</v>
      </c>
      <c r="C46" s="83" t="s">
        <v>42</v>
      </c>
    </row>
    <row r="47" spans="1:15" ht="18" hidden="1" customHeight="1">
      <c r="A47" s="82">
        <v>42376</v>
      </c>
      <c r="C47" s="83" t="s">
        <v>41</v>
      </c>
    </row>
    <row r="48" spans="1:15" ht="25.5" hidden="1" customHeight="1">
      <c r="A48" s="213">
        <v>41593</v>
      </c>
      <c r="B48" s="214"/>
      <c r="C48" s="215" t="s">
        <v>40</v>
      </c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</row>
    <row r="49" spans="1:15" ht="18" hidden="1" customHeight="1">
      <c r="A49" s="213">
        <v>41240</v>
      </c>
      <c r="B49" s="214"/>
      <c r="C49" s="215" t="s">
        <v>39</v>
      </c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</row>
    <row r="50" spans="1:15" ht="28.5" hidden="1" customHeight="1">
      <c r="A50" s="213">
        <v>41240</v>
      </c>
      <c r="B50" s="214"/>
      <c r="C50" s="215" t="s">
        <v>38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</row>
    <row r="51" spans="1:15" ht="18" hidden="1" customHeight="1">
      <c r="A51" s="213">
        <v>41240</v>
      </c>
      <c r="B51" s="214"/>
      <c r="C51" s="215" t="s">
        <v>37</v>
      </c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</row>
    <row r="52" spans="1:15" ht="18" hidden="1" customHeight="1">
      <c r="A52" s="213">
        <v>41240</v>
      </c>
      <c r="B52" s="214"/>
      <c r="C52" s="215" t="s">
        <v>36</v>
      </c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</row>
    <row r="53" spans="1:15" ht="18" hidden="1" customHeight="1">
      <c r="A53" s="213">
        <v>41240</v>
      </c>
      <c r="B53" s="214"/>
      <c r="C53" s="215" t="s">
        <v>35</v>
      </c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</row>
    <row r="54" spans="1:15" ht="18" hidden="1" customHeight="1">
      <c r="A54" s="213">
        <v>41240</v>
      </c>
      <c r="B54" s="214"/>
      <c r="C54" s="215" t="s">
        <v>34</v>
      </c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</row>
    <row r="55" spans="1:15" ht="18" hidden="1" customHeight="1">
      <c r="A55" s="213">
        <v>41240</v>
      </c>
      <c r="B55" s="214"/>
      <c r="C55" s="215" t="s">
        <v>33</v>
      </c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</row>
    <row r="56" spans="1:15" hidden="1"/>
    <row r="57" spans="1:15" hidden="1"/>
    <row r="58" spans="1:15" hidden="1"/>
    <row r="59" spans="1:15" hidden="1"/>
  </sheetData>
  <mergeCells count="30">
    <mergeCell ref="A32:A34"/>
    <mergeCell ref="D2:O2"/>
    <mergeCell ref="A3:O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C35:O35"/>
    <mergeCell ref="C36:O36"/>
    <mergeCell ref="A48:B48"/>
    <mergeCell ref="C48:O48"/>
    <mergeCell ref="A49:B49"/>
    <mergeCell ref="C49:O49"/>
    <mergeCell ref="A50:B50"/>
    <mergeCell ref="C50:O50"/>
    <mergeCell ref="A51:B51"/>
    <mergeCell ref="C51:O51"/>
    <mergeCell ref="A52:B52"/>
    <mergeCell ref="C52:O52"/>
    <mergeCell ref="A53:B53"/>
    <mergeCell ref="C53:O53"/>
    <mergeCell ref="A54:B54"/>
    <mergeCell ref="C54:O54"/>
    <mergeCell ref="A55:B55"/>
    <mergeCell ref="C55:O55"/>
  </mergeCells>
  <printOptions horizontalCentered="1"/>
  <pageMargins left="0.23622047244094499" right="0.23622047244094499" top="0.55118110236220497" bottom="0" header="0.31496062992126" footer="0.118110236220472"/>
  <pageSetup scale="67" orientation="portrait" r:id="rId1"/>
  <headerFooter>
    <oddFooter>&amp;L&amp;P&amp;RApril 4, 2025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62EC-1DF8-41A8-AE59-5A6BCF729CB8}">
  <sheetPr>
    <tabColor theme="9" tint="0.59999389629810485"/>
    <pageSetUpPr fitToPage="1"/>
  </sheetPr>
  <dimension ref="A1:O59"/>
  <sheetViews>
    <sheetView view="pageBreakPreview" zoomScale="90" zoomScaleNormal="100" zoomScaleSheetLayoutView="90" workbookViewId="0">
      <selection activeCell="B3" sqref="B3:E3"/>
    </sheetView>
  </sheetViews>
  <sheetFormatPr defaultColWidth="8.69140625" defaultRowHeight="15.5"/>
  <cols>
    <col min="1" max="1" width="3.23046875" style="84" customWidth="1"/>
    <col min="2" max="2" width="13.69140625" style="84" customWidth="1"/>
    <col min="3" max="3" width="4.69140625" style="84" customWidth="1"/>
    <col min="4" max="13" width="5" style="84" customWidth="1"/>
    <col min="14" max="14" width="8.69140625" style="84" hidden="1" customWidth="1"/>
    <col min="15" max="15" width="3.69140625" style="84" customWidth="1"/>
    <col min="16" max="16384" width="8.69140625" style="84"/>
  </cols>
  <sheetData>
    <row r="1" spans="1:15" s="77" customFormat="1" ht="13">
      <c r="C1" s="7"/>
    </row>
    <row r="2" spans="1:15" s="77" customFormat="1" ht="97" customHeight="1">
      <c r="B2" s="76"/>
      <c r="C2" s="7"/>
      <c r="D2" s="239" t="s">
        <v>141</v>
      </c>
      <c r="E2" s="240"/>
      <c r="F2" s="240"/>
      <c r="G2" s="240"/>
      <c r="H2" s="240"/>
      <c r="I2" s="240"/>
      <c r="J2" s="240"/>
      <c r="K2" s="240"/>
      <c r="L2" s="240"/>
      <c r="M2" s="240"/>
      <c r="N2" s="240"/>
    </row>
    <row r="3" spans="1:15" ht="48" customHeight="1">
      <c r="A3" s="241" t="s">
        <v>143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5" customHeight="1" thickBot="1">
      <c r="A4" s="77"/>
      <c r="B4" s="44" t="s">
        <v>68</v>
      </c>
      <c r="C4" s="7"/>
      <c r="D4" s="7" t="s">
        <v>64</v>
      </c>
      <c r="E4" s="7" t="s">
        <v>63</v>
      </c>
      <c r="F4" s="7" t="s">
        <v>62</v>
      </c>
      <c r="G4" s="7" t="s">
        <v>61</v>
      </c>
      <c r="H4" s="7" t="s">
        <v>60</v>
      </c>
      <c r="I4" s="7" t="s">
        <v>59</v>
      </c>
      <c r="J4" s="7" t="s">
        <v>58</v>
      </c>
      <c r="K4" s="7" t="s">
        <v>57</v>
      </c>
      <c r="L4" s="7" t="s">
        <v>56</v>
      </c>
      <c r="M4" s="7" t="s">
        <v>55</v>
      </c>
      <c r="N4" s="77"/>
      <c r="O4" s="77"/>
    </row>
    <row r="5" spans="1:15" s="77" customFormat="1" ht="15" customHeight="1" thickBot="1">
      <c r="B5" s="238" t="s">
        <v>31</v>
      </c>
      <c r="C5" s="45" t="s">
        <v>69</v>
      </c>
      <c r="D5" s="46"/>
      <c r="E5" s="47"/>
      <c r="F5" s="46"/>
      <c r="G5" s="21" t="s">
        <v>50</v>
      </c>
      <c r="H5" s="20" t="s">
        <v>50</v>
      </c>
      <c r="I5" s="21" t="s">
        <v>50</v>
      </c>
      <c r="J5" s="20" t="s">
        <v>50</v>
      </c>
      <c r="K5" s="21" t="s">
        <v>50</v>
      </c>
      <c r="L5" s="20" t="s">
        <v>50</v>
      </c>
      <c r="M5" s="19" t="s">
        <v>50</v>
      </c>
    </row>
    <row r="6" spans="1:15" s="77" customFormat="1" ht="15" customHeight="1" thickBot="1">
      <c r="B6" s="238"/>
      <c r="C6" s="45" t="s">
        <v>52</v>
      </c>
      <c r="D6" s="43"/>
      <c r="E6" s="48"/>
      <c r="F6" s="43"/>
      <c r="G6" s="16" t="s">
        <v>50</v>
      </c>
      <c r="H6" s="15" t="s">
        <v>50</v>
      </c>
      <c r="I6" s="16" t="s">
        <v>50</v>
      </c>
      <c r="J6" s="15" t="s">
        <v>50</v>
      </c>
      <c r="K6" s="16" t="s">
        <v>50</v>
      </c>
      <c r="L6" s="15" t="s">
        <v>50</v>
      </c>
      <c r="M6" s="14" t="s">
        <v>50</v>
      </c>
    </row>
    <row r="7" spans="1:15" s="77" customFormat="1" ht="15" customHeight="1" thickBot="1">
      <c r="B7" s="238"/>
      <c r="C7" s="45" t="s">
        <v>51</v>
      </c>
      <c r="D7" s="13"/>
      <c r="E7" s="24"/>
      <c r="F7" s="13"/>
      <c r="G7" s="24"/>
      <c r="H7" s="13"/>
      <c r="I7" s="24"/>
      <c r="J7" s="13"/>
      <c r="K7" s="24"/>
      <c r="L7" s="13"/>
      <c r="M7" s="23"/>
    </row>
    <row r="8" spans="1:15" ht="15" customHeight="1" thickBot="1">
      <c r="A8" s="77"/>
      <c r="B8" s="238" t="s">
        <v>13</v>
      </c>
      <c r="C8" s="45" t="s">
        <v>69</v>
      </c>
      <c r="D8" s="20" t="s">
        <v>50</v>
      </c>
      <c r="E8" s="21" t="s">
        <v>50</v>
      </c>
      <c r="F8" s="20" t="s">
        <v>50</v>
      </c>
      <c r="G8" s="21" t="s">
        <v>50</v>
      </c>
      <c r="H8" s="20" t="s">
        <v>50</v>
      </c>
      <c r="I8" s="21" t="s">
        <v>50</v>
      </c>
      <c r="J8" s="20" t="s">
        <v>50</v>
      </c>
      <c r="K8" s="21" t="s">
        <v>50</v>
      </c>
      <c r="L8" s="20" t="s">
        <v>50</v>
      </c>
      <c r="M8" s="19" t="s">
        <v>50</v>
      </c>
      <c r="N8" s="77"/>
      <c r="O8" s="77"/>
    </row>
    <row r="9" spans="1:15" ht="15" customHeight="1" thickBot="1">
      <c r="A9" s="77"/>
      <c r="B9" s="238"/>
      <c r="C9" s="45" t="s">
        <v>52</v>
      </c>
      <c r="D9" s="18"/>
      <c r="E9" s="17"/>
      <c r="F9" s="18"/>
      <c r="G9" s="17"/>
      <c r="H9" s="18"/>
      <c r="I9" s="17"/>
      <c r="J9" s="18"/>
      <c r="K9" s="17"/>
      <c r="L9" s="18"/>
      <c r="M9" s="42"/>
      <c r="N9" s="77"/>
      <c r="O9" s="77"/>
    </row>
    <row r="10" spans="1:15" ht="15" customHeight="1" thickBot="1">
      <c r="A10" s="77"/>
      <c r="B10" s="238"/>
      <c r="C10" s="45" t="s">
        <v>51</v>
      </c>
      <c r="D10" s="22"/>
      <c r="E10" s="41"/>
      <c r="F10" s="22"/>
      <c r="G10" s="41"/>
      <c r="H10" s="22"/>
      <c r="I10" s="41"/>
      <c r="J10" s="22"/>
      <c r="K10" s="41"/>
      <c r="L10" s="22"/>
      <c r="M10" s="40"/>
      <c r="N10" s="77"/>
      <c r="O10" s="77"/>
    </row>
    <row r="11" spans="1:15" s="77" customFormat="1" ht="15" customHeight="1" thickBot="1">
      <c r="B11" s="238" t="s">
        <v>29</v>
      </c>
      <c r="C11" s="45" t="s">
        <v>69</v>
      </c>
      <c r="D11" s="37" t="s">
        <v>50</v>
      </c>
      <c r="E11" s="38" t="s">
        <v>50</v>
      </c>
      <c r="F11" s="37" t="s">
        <v>50</v>
      </c>
      <c r="G11" s="38" t="s">
        <v>50</v>
      </c>
      <c r="H11" s="37" t="s">
        <v>50</v>
      </c>
      <c r="I11" s="38" t="s">
        <v>50</v>
      </c>
      <c r="J11" s="37" t="s">
        <v>50</v>
      </c>
      <c r="K11" s="38" t="s">
        <v>50</v>
      </c>
      <c r="L11" s="37" t="s">
        <v>50</v>
      </c>
      <c r="M11" s="36" t="s">
        <v>50</v>
      </c>
    </row>
    <row r="12" spans="1:15" s="77" customFormat="1" ht="15" customHeight="1" thickBot="1">
      <c r="B12" s="238"/>
      <c r="C12" s="45" t="s">
        <v>52</v>
      </c>
      <c r="D12" s="15" t="s">
        <v>50</v>
      </c>
      <c r="E12" s="16" t="s">
        <v>50</v>
      </c>
      <c r="F12" s="15" t="s">
        <v>50</v>
      </c>
      <c r="G12" s="16" t="s">
        <v>50</v>
      </c>
      <c r="H12" s="15" t="s">
        <v>50</v>
      </c>
      <c r="I12" s="16" t="s">
        <v>50</v>
      </c>
      <c r="J12" s="15" t="s">
        <v>50</v>
      </c>
      <c r="K12" s="16" t="s">
        <v>50</v>
      </c>
      <c r="L12" s="15" t="s">
        <v>50</v>
      </c>
      <c r="M12" s="14" t="s">
        <v>50</v>
      </c>
    </row>
    <row r="13" spans="1:15" s="77" customFormat="1" ht="15" customHeight="1" thickBot="1">
      <c r="B13" s="238"/>
      <c r="C13" s="45" t="s">
        <v>51</v>
      </c>
      <c r="D13" s="39"/>
      <c r="E13" s="49"/>
      <c r="F13" s="39"/>
      <c r="G13" s="49"/>
      <c r="H13" s="39"/>
      <c r="I13" s="49"/>
      <c r="J13" s="37" t="s">
        <v>50</v>
      </c>
      <c r="K13" s="38" t="s">
        <v>50</v>
      </c>
      <c r="L13" s="37" t="s">
        <v>50</v>
      </c>
      <c r="M13" s="36" t="s">
        <v>50</v>
      </c>
    </row>
    <row r="14" spans="1:15" ht="15" customHeight="1" thickBot="1">
      <c r="B14" s="243" t="s">
        <v>54</v>
      </c>
      <c r="C14" s="45" t="s">
        <v>69</v>
      </c>
      <c r="D14" s="34" t="s">
        <v>50</v>
      </c>
      <c r="E14" s="35" t="s">
        <v>50</v>
      </c>
      <c r="F14" s="34" t="s">
        <v>50</v>
      </c>
      <c r="G14" s="35" t="s">
        <v>50</v>
      </c>
      <c r="H14" s="34" t="s">
        <v>50</v>
      </c>
      <c r="I14" s="35" t="s">
        <v>50</v>
      </c>
      <c r="J14" s="34" t="s">
        <v>50</v>
      </c>
      <c r="K14" s="35" t="s">
        <v>50</v>
      </c>
      <c r="L14" s="34" t="s">
        <v>50</v>
      </c>
      <c r="M14" s="33" t="s">
        <v>50</v>
      </c>
    </row>
    <row r="15" spans="1:15" ht="15" customHeight="1" thickBot="1">
      <c r="B15" s="244"/>
      <c r="C15" s="45" t="s">
        <v>52</v>
      </c>
      <c r="D15" s="15" t="s">
        <v>50</v>
      </c>
      <c r="E15" s="16" t="s">
        <v>50</v>
      </c>
      <c r="F15" s="15" t="s">
        <v>50</v>
      </c>
      <c r="G15" s="16" t="s">
        <v>50</v>
      </c>
      <c r="H15" s="15" t="s">
        <v>50</v>
      </c>
      <c r="I15" s="16" t="s">
        <v>50</v>
      </c>
      <c r="J15" s="15" t="s">
        <v>50</v>
      </c>
      <c r="K15" s="16" t="s">
        <v>50</v>
      </c>
      <c r="L15" s="15" t="s">
        <v>50</v>
      </c>
      <c r="M15" s="14" t="s">
        <v>50</v>
      </c>
    </row>
    <row r="16" spans="1:15" ht="15" customHeight="1" thickBot="1">
      <c r="B16" s="245"/>
      <c r="C16" s="45" t="s">
        <v>51</v>
      </c>
      <c r="D16" s="13"/>
      <c r="E16" s="24"/>
      <c r="F16" s="13"/>
      <c r="G16" s="24"/>
      <c r="H16" s="13"/>
      <c r="I16" s="24"/>
      <c r="J16" s="11" t="s">
        <v>50</v>
      </c>
      <c r="K16" s="12" t="s">
        <v>50</v>
      </c>
      <c r="L16" s="11" t="s">
        <v>50</v>
      </c>
      <c r="M16" s="10" t="s">
        <v>50</v>
      </c>
    </row>
    <row r="17" spans="1:13" ht="15" customHeight="1" thickBot="1">
      <c r="B17" s="238" t="s">
        <v>22</v>
      </c>
      <c r="C17" s="45" t="s">
        <v>69</v>
      </c>
      <c r="D17" s="20" t="s">
        <v>50</v>
      </c>
      <c r="E17" s="21" t="s">
        <v>50</v>
      </c>
      <c r="F17" s="20" t="s">
        <v>50</v>
      </c>
      <c r="G17" s="21" t="s">
        <v>50</v>
      </c>
      <c r="H17" s="20" t="s">
        <v>50</v>
      </c>
      <c r="I17" s="21" t="s">
        <v>50</v>
      </c>
      <c r="J17" s="20" t="s">
        <v>50</v>
      </c>
      <c r="K17" s="21" t="s">
        <v>50</v>
      </c>
      <c r="L17" s="20" t="s">
        <v>50</v>
      </c>
      <c r="M17" s="19" t="s">
        <v>50</v>
      </c>
    </row>
    <row r="18" spans="1:13" ht="15" customHeight="1" thickBot="1">
      <c r="B18" s="238"/>
      <c r="C18" s="45" t="s">
        <v>52</v>
      </c>
      <c r="D18" s="15" t="s">
        <v>50</v>
      </c>
      <c r="E18" s="16" t="s">
        <v>50</v>
      </c>
      <c r="F18" s="15" t="s">
        <v>50</v>
      </c>
      <c r="G18" s="16" t="s">
        <v>50</v>
      </c>
      <c r="H18" s="15" t="s">
        <v>50</v>
      </c>
      <c r="I18" s="16" t="s">
        <v>50</v>
      </c>
      <c r="J18" s="15" t="s">
        <v>50</v>
      </c>
      <c r="K18" s="16" t="s">
        <v>50</v>
      </c>
      <c r="L18" s="15" t="s">
        <v>50</v>
      </c>
      <c r="M18" s="14" t="s">
        <v>50</v>
      </c>
    </row>
    <row r="19" spans="1:13" ht="15" customHeight="1" thickBot="1">
      <c r="B19" s="238"/>
      <c r="C19" s="45" t="s">
        <v>51</v>
      </c>
      <c r="D19" s="13"/>
      <c r="E19" s="24"/>
      <c r="F19" s="13"/>
      <c r="G19" s="24"/>
      <c r="H19" s="13"/>
      <c r="I19" s="24"/>
      <c r="J19" s="13"/>
      <c r="K19" s="24"/>
      <c r="L19" s="13"/>
      <c r="M19" s="23"/>
    </row>
    <row r="20" spans="1:13" ht="15" customHeight="1" thickBot="1">
      <c r="B20" s="246" t="s">
        <v>18</v>
      </c>
      <c r="C20" s="45" t="s">
        <v>69</v>
      </c>
      <c r="D20" s="50"/>
      <c r="E20" s="51"/>
      <c r="F20" s="32" t="s">
        <v>50</v>
      </c>
      <c r="G20" s="31" t="s">
        <v>50</v>
      </c>
      <c r="H20" s="30" t="s">
        <v>50</v>
      </c>
      <c r="I20" s="31" t="s">
        <v>50</v>
      </c>
      <c r="J20" s="30" t="s">
        <v>50</v>
      </c>
      <c r="K20" s="31" t="s">
        <v>50</v>
      </c>
      <c r="L20" s="30" t="s">
        <v>50</v>
      </c>
      <c r="M20" s="29" t="s">
        <v>50</v>
      </c>
    </row>
    <row r="21" spans="1:13" ht="15" customHeight="1" thickBot="1">
      <c r="B21" s="247"/>
      <c r="C21" s="45" t="s">
        <v>52</v>
      </c>
      <c r="D21" s="43"/>
      <c r="E21" s="48"/>
      <c r="F21" s="28" t="s">
        <v>50</v>
      </c>
      <c r="G21" s="27" t="s">
        <v>50</v>
      </c>
      <c r="H21" s="26" t="s">
        <v>50</v>
      </c>
      <c r="I21" s="27" t="s">
        <v>50</v>
      </c>
      <c r="J21" s="26" t="s">
        <v>50</v>
      </c>
      <c r="K21" s="27" t="s">
        <v>50</v>
      </c>
      <c r="L21" s="26" t="s">
        <v>50</v>
      </c>
      <c r="M21" s="25" t="s">
        <v>50</v>
      </c>
    </row>
    <row r="22" spans="1:13" ht="15" customHeight="1" thickBot="1">
      <c r="B22" s="248"/>
      <c r="C22" s="45" t="s">
        <v>51</v>
      </c>
      <c r="D22" s="13"/>
      <c r="E22" s="24"/>
      <c r="F22" s="13"/>
      <c r="G22" s="24"/>
      <c r="H22" s="13"/>
      <c r="I22" s="24"/>
      <c r="J22" s="13"/>
      <c r="K22" s="24"/>
      <c r="L22" s="13"/>
      <c r="M22" s="23"/>
    </row>
    <row r="23" spans="1:13" ht="15" customHeight="1" thickBot="1">
      <c r="B23" s="246" t="s">
        <v>20</v>
      </c>
      <c r="C23" s="45" t="s">
        <v>69</v>
      </c>
      <c r="D23" s="50"/>
      <c r="E23" s="51"/>
      <c r="F23" s="20" t="s">
        <v>50</v>
      </c>
      <c r="G23" s="21" t="s">
        <v>50</v>
      </c>
      <c r="H23" s="20" t="s">
        <v>50</v>
      </c>
      <c r="I23" s="21" t="s">
        <v>50</v>
      </c>
      <c r="J23" s="20" t="s">
        <v>50</v>
      </c>
      <c r="K23" s="21" t="s">
        <v>50</v>
      </c>
      <c r="L23" s="20" t="s">
        <v>50</v>
      </c>
      <c r="M23" s="19" t="s">
        <v>50</v>
      </c>
    </row>
    <row r="24" spans="1:13" ht="15" customHeight="1" thickBot="1">
      <c r="B24" s="247"/>
      <c r="C24" s="45" t="s">
        <v>52</v>
      </c>
      <c r="D24" s="43"/>
      <c r="E24" s="48"/>
      <c r="F24" s="15" t="s">
        <v>50</v>
      </c>
      <c r="G24" s="16" t="s">
        <v>50</v>
      </c>
      <c r="H24" s="15" t="s">
        <v>50</v>
      </c>
      <c r="I24" s="16" t="s">
        <v>50</v>
      </c>
      <c r="J24" s="15" t="s">
        <v>50</v>
      </c>
      <c r="K24" s="16" t="s">
        <v>50</v>
      </c>
      <c r="L24" s="15" t="s">
        <v>50</v>
      </c>
      <c r="M24" s="14" t="s">
        <v>50</v>
      </c>
    </row>
    <row r="25" spans="1:13" ht="15" customHeight="1" thickBot="1">
      <c r="B25" s="248"/>
      <c r="C25" s="45" t="s">
        <v>51</v>
      </c>
      <c r="D25" s="13"/>
      <c r="E25" s="24"/>
      <c r="F25" s="13"/>
      <c r="G25" s="24"/>
      <c r="H25" s="13"/>
      <c r="I25" s="24"/>
      <c r="J25" s="11" t="s">
        <v>50</v>
      </c>
      <c r="K25" s="12" t="s">
        <v>50</v>
      </c>
      <c r="L25" s="11" t="s">
        <v>50</v>
      </c>
      <c r="M25" s="10" t="s">
        <v>50</v>
      </c>
    </row>
    <row r="26" spans="1:13" ht="15" customHeight="1" thickBot="1">
      <c r="B26" s="238" t="s">
        <v>25</v>
      </c>
      <c r="C26" s="45" t="s">
        <v>69</v>
      </c>
      <c r="D26" s="50"/>
      <c r="E26" s="51"/>
      <c r="F26" s="20" t="s">
        <v>50</v>
      </c>
      <c r="G26" s="21" t="s">
        <v>50</v>
      </c>
      <c r="H26" s="20" t="s">
        <v>50</v>
      </c>
      <c r="I26" s="21" t="s">
        <v>50</v>
      </c>
      <c r="J26" s="20" t="s">
        <v>50</v>
      </c>
      <c r="K26" s="21" t="s">
        <v>50</v>
      </c>
      <c r="L26" s="20" t="s">
        <v>50</v>
      </c>
      <c r="M26" s="19" t="s">
        <v>50</v>
      </c>
    </row>
    <row r="27" spans="1:13" ht="15" customHeight="1" thickBot="1">
      <c r="A27" s="77"/>
      <c r="B27" s="238"/>
      <c r="C27" s="45" t="s">
        <v>52</v>
      </c>
      <c r="D27" s="43"/>
      <c r="E27" s="48"/>
      <c r="F27" s="20" t="s">
        <v>50</v>
      </c>
      <c r="G27" s="21" t="s">
        <v>50</v>
      </c>
      <c r="H27" s="20" t="s">
        <v>50</v>
      </c>
      <c r="I27" s="21" t="s">
        <v>50</v>
      </c>
      <c r="J27" s="20" t="s">
        <v>50</v>
      </c>
      <c r="K27" s="21" t="s">
        <v>50</v>
      </c>
      <c r="L27" s="20" t="s">
        <v>50</v>
      </c>
      <c r="M27" s="19" t="s">
        <v>50</v>
      </c>
    </row>
    <row r="28" spans="1:13" ht="15" customHeight="1" thickBot="1">
      <c r="A28" s="77"/>
      <c r="B28" s="238"/>
      <c r="C28" s="45" t="s">
        <v>51</v>
      </c>
      <c r="D28" s="13"/>
      <c r="E28" s="24"/>
      <c r="F28" s="13"/>
      <c r="G28" s="24"/>
      <c r="H28" s="13"/>
      <c r="I28" s="24"/>
      <c r="J28" s="11" t="s">
        <v>50</v>
      </c>
      <c r="K28" s="12" t="s">
        <v>50</v>
      </c>
      <c r="L28" s="11" t="s">
        <v>50</v>
      </c>
      <c r="M28" s="10" t="s">
        <v>50</v>
      </c>
    </row>
    <row r="29" spans="1:13" ht="15" customHeight="1" thickBot="1">
      <c r="A29" s="77"/>
      <c r="B29" s="238" t="s">
        <v>14</v>
      </c>
      <c r="C29" s="45" t="s">
        <v>69</v>
      </c>
      <c r="D29" s="20" t="s">
        <v>50</v>
      </c>
      <c r="E29" s="21" t="s">
        <v>50</v>
      </c>
      <c r="F29" s="20" t="s">
        <v>50</v>
      </c>
      <c r="G29" s="21" t="s">
        <v>50</v>
      </c>
      <c r="H29" s="20" t="s">
        <v>50</v>
      </c>
      <c r="I29" s="21" t="s">
        <v>50</v>
      </c>
      <c r="J29" s="20" t="s">
        <v>50</v>
      </c>
      <c r="K29" s="21" t="s">
        <v>50</v>
      </c>
      <c r="L29" s="20" t="s">
        <v>50</v>
      </c>
      <c r="M29" s="19" t="s">
        <v>50</v>
      </c>
    </row>
    <row r="30" spans="1:13" ht="15" customHeight="1" thickBot="1">
      <c r="A30" s="77"/>
      <c r="B30" s="238"/>
      <c r="C30" s="45" t="s">
        <v>52</v>
      </c>
      <c r="D30" s="18"/>
      <c r="E30" s="17"/>
      <c r="F30" s="18"/>
      <c r="G30" s="17"/>
      <c r="H30" s="18"/>
      <c r="I30" s="17"/>
      <c r="J30" s="15" t="s">
        <v>50</v>
      </c>
      <c r="K30" s="16" t="s">
        <v>50</v>
      </c>
      <c r="L30" s="15" t="s">
        <v>50</v>
      </c>
      <c r="M30" s="14" t="s">
        <v>50</v>
      </c>
    </row>
    <row r="31" spans="1:13" ht="15" customHeight="1" thickBot="1">
      <c r="A31" s="77"/>
      <c r="B31" s="238"/>
      <c r="C31" s="45" t="s">
        <v>51</v>
      </c>
      <c r="D31" s="22"/>
      <c r="E31" s="41"/>
      <c r="F31" s="22"/>
      <c r="G31" s="41"/>
      <c r="H31" s="22"/>
      <c r="I31" s="41"/>
      <c r="J31" s="11" t="s">
        <v>50</v>
      </c>
      <c r="K31" s="12" t="s">
        <v>50</v>
      </c>
      <c r="L31" s="11" t="s">
        <v>50</v>
      </c>
      <c r="M31" s="10" t="s">
        <v>50</v>
      </c>
    </row>
    <row r="32" spans="1:13" s="77" customFormat="1" ht="15" customHeight="1" thickBot="1">
      <c r="B32" s="238" t="s">
        <v>21</v>
      </c>
      <c r="C32" s="45" t="s">
        <v>69</v>
      </c>
      <c r="D32" s="20" t="s">
        <v>50</v>
      </c>
      <c r="E32" s="21" t="s">
        <v>50</v>
      </c>
      <c r="F32" s="20" t="s">
        <v>50</v>
      </c>
      <c r="G32" s="21" t="s">
        <v>50</v>
      </c>
      <c r="H32" s="20" t="s">
        <v>50</v>
      </c>
      <c r="I32" s="21" t="s">
        <v>50</v>
      </c>
      <c r="J32" s="20" t="s">
        <v>50</v>
      </c>
      <c r="K32" s="21" t="s">
        <v>50</v>
      </c>
      <c r="L32" s="20" t="s">
        <v>50</v>
      </c>
      <c r="M32" s="19" t="s">
        <v>50</v>
      </c>
    </row>
    <row r="33" spans="1:13" s="77" customFormat="1" ht="15" customHeight="1" thickBot="1">
      <c r="B33" s="238"/>
      <c r="C33" s="45" t="s">
        <v>52</v>
      </c>
      <c r="D33" s="18"/>
      <c r="E33" s="17"/>
      <c r="F33" s="18"/>
      <c r="G33" s="17"/>
      <c r="H33" s="18"/>
      <c r="I33" s="17"/>
      <c r="J33" s="15" t="s">
        <v>50</v>
      </c>
      <c r="K33" s="16" t="s">
        <v>50</v>
      </c>
      <c r="L33" s="15" t="s">
        <v>50</v>
      </c>
      <c r="M33" s="14" t="s">
        <v>50</v>
      </c>
    </row>
    <row r="34" spans="1:13" s="77" customFormat="1" ht="15" customHeight="1" thickBot="1">
      <c r="B34" s="238"/>
      <c r="C34" s="45" t="s">
        <v>51</v>
      </c>
      <c r="D34" s="13"/>
      <c r="E34" s="24"/>
      <c r="F34" s="13"/>
      <c r="G34" s="24"/>
      <c r="H34" s="13"/>
      <c r="I34" s="24"/>
      <c r="J34" s="11" t="s">
        <v>50</v>
      </c>
      <c r="K34" s="12" t="s">
        <v>50</v>
      </c>
      <c r="L34" s="11" t="s">
        <v>50</v>
      </c>
      <c r="M34" s="10" t="s">
        <v>50</v>
      </c>
    </row>
    <row r="35" spans="1:13" ht="15.75" customHeight="1">
      <c r="A35" s="77"/>
      <c r="B35" s="78"/>
      <c r="C35" s="85"/>
      <c r="D35" s="232" t="s">
        <v>70</v>
      </c>
      <c r="E35" s="233"/>
      <c r="F35" s="233"/>
      <c r="G35" s="233"/>
      <c r="H35" s="233"/>
      <c r="I35" s="233"/>
      <c r="J35" s="233"/>
      <c r="K35" s="233"/>
      <c r="L35" s="233"/>
      <c r="M35" s="234"/>
    </row>
    <row r="36" spans="1:13" ht="15.75" customHeight="1" thickBot="1">
      <c r="A36" s="77"/>
      <c r="B36" s="79"/>
      <c r="C36" s="52" t="s">
        <v>48</v>
      </c>
      <c r="D36" s="235" t="s">
        <v>47</v>
      </c>
      <c r="E36" s="236"/>
      <c r="F36" s="236"/>
      <c r="G36" s="236"/>
      <c r="H36" s="236"/>
      <c r="I36" s="236"/>
      <c r="J36" s="236"/>
      <c r="K36" s="236"/>
      <c r="L36" s="236"/>
      <c r="M36" s="237"/>
    </row>
    <row r="37" spans="1:13" ht="15.75" customHeight="1">
      <c r="A37" s="77"/>
      <c r="B37" s="77"/>
      <c r="C37" s="7"/>
      <c r="D37" s="77"/>
      <c r="E37" s="77"/>
      <c r="F37" s="77"/>
      <c r="G37" s="77"/>
      <c r="H37" s="77"/>
      <c r="I37" s="77"/>
      <c r="J37" s="77"/>
      <c r="K37" s="86"/>
      <c r="L37" s="80"/>
      <c r="M37" s="80"/>
    </row>
    <row r="38" spans="1:13" ht="15.75" customHeight="1">
      <c r="A38" s="77"/>
      <c r="B38" s="77"/>
      <c r="C38" s="7"/>
      <c r="D38" s="77"/>
      <c r="E38" s="77"/>
      <c r="F38" s="77"/>
      <c r="G38" s="77"/>
      <c r="H38" s="77"/>
      <c r="I38" s="77"/>
      <c r="J38" s="77"/>
      <c r="K38" s="77"/>
      <c r="L38" s="77"/>
      <c r="M38" s="77"/>
    </row>
    <row r="39" spans="1:13" ht="15.75" customHeight="1">
      <c r="A39" s="77"/>
      <c r="B39" s="77"/>
      <c r="C39" s="7"/>
      <c r="D39" s="77"/>
      <c r="E39" s="77"/>
      <c r="F39" s="77"/>
      <c r="G39" s="77"/>
      <c r="H39" s="77"/>
      <c r="I39" s="77"/>
      <c r="J39" s="77"/>
      <c r="K39" s="139"/>
      <c r="L39" s="77"/>
      <c r="M39" s="77"/>
    </row>
    <row r="40" spans="1:13" ht="15.75" customHeight="1">
      <c r="A40" s="77"/>
      <c r="B40" s="77"/>
      <c r="C40" s="7"/>
      <c r="D40" s="77"/>
      <c r="E40" s="77"/>
      <c r="F40" s="77"/>
      <c r="G40" s="77"/>
      <c r="H40" s="77"/>
      <c r="I40" s="77"/>
      <c r="J40" s="77"/>
      <c r="K40" s="77"/>
      <c r="L40" s="77"/>
      <c r="M40" s="77"/>
    </row>
    <row r="41" spans="1:13" ht="18" hidden="1" customHeight="1">
      <c r="A41" s="77"/>
      <c r="B41" s="77"/>
      <c r="C41" s="7"/>
      <c r="D41" s="77"/>
      <c r="E41" s="77"/>
      <c r="F41" s="77"/>
      <c r="G41" s="77"/>
      <c r="H41" s="77"/>
      <c r="I41" s="77"/>
      <c r="J41" s="77"/>
      <c r="K41" s="77"/>
      <c r="L41" s="77"/>
      <c r="M41" s="77"/>
    </row>
    <row r="42" spans="1:13" s="77" customFormat="1" ht="18" hidden="1" customHeight="1">
      <c r="C42" s="7"/>
    </row>
    <row r="43" spans="1:13" s="77" customFormat="1" ht="18" hidden="1" customHeight="1">
      <c r="B43" s="82">
        <v>43174</v>
      </c>
      <c r="C43" s="7"/>
    </row>
    <row r="44" spans="1:13" ht="18" hidden="1" customHeight="1">
      <c r="A44" s="77"/>
      <c r="B44" s="82">
        <v>43047</v>
      </c>
      <c r="C44" s="7"/>
      <c r="D44" s="77"/>
      <c r="E44" s="77"/>
      <c r="F44" s="77"/>
      <c r="G44" s="77"/>
      <c r="H44" s="77"/>
      <c r="I44" s="77"/>
      <c r="J44" s="77"/>
      <c r="K44" s="77"/>
      <c r="L44" s="77"/>
      <c r="M44" s="77"/>
    </row>
    <row r="45" spans="1:13" s="77" customFormat="1" ht="18" hidden="1" customHeight="1">
      <c r="B45" s="82">
        <v>42480</v>
      </c>
      <c r="C45" s="7"/>
    </row>
    <row r="46" spans="1:13" ht="18" hidden="1" customHeight="1">
      <c r="A46" s="77"/>
      <c r="B46" s="82">
        <v>42480</v>
      </c>
      <c r="C46" s="7"/>
      <c r="D46" s="77"/>
      <c r="E46" s="77"/>
      <c r="F46" s="77"/>
      <c r="G46" s="77"/>
      <c r="H46" s="77"/>
      <c r="I46" s="77"/>
      <c r="J46" s="77"/>
      <c r="K46" s="77"/>
      <c r="L46" s="77"/>
      <c r="M46" s="77"/>
    </row>
    <row r="47" spans="1:13" ht="18" hidden="1" customHeight="1">
      <c r="A47" s="77"/>
      <c r="B47" s="82">
        <v>42376</v>
      </c>
      <c r="C47" s="7"/>
      <c r="D47" s="77"/>
      <c r="E47" s="77"/>
      <c r="F47" s="77"/>
      <c r="G47" s="77"/>
      <c r="H47" s="77"/>
      <c r="I47" s="77"/>
      <c r="J47" s="77"/>
      <c r="K47" s="77"/>
      <c r="L47" s="77"/>
      <c r="M47" s="77"/>
    </row>
    <row r="48" spans="1:13" ht="25.5" hidden="1" customHeight="1">
      <c r="A48" s="77"/>
      <c r="B48" s="213">
        <v>41593</v>
      </c>
      <c r="C48" s="214"/>
      <c r="D48" s="216"/>
      <c r="E48" s="216"/>
      <c r="F48" s="216"/>
      <c r="G48" s="216"/>
      <c r="H48" s="216"/>
      <c r="I48" s="216"/>
      <c r="J48" s="216"/>
      <c r="K48" s="216"/>
      <c r="L48" s="216"/>
      <c r="M48" s="216"/>
    </row>
    <row r="49" spans="1:13" ht="18" hidden="1" customHeight="1">
      <c r="A49" s="77"/>
      <c r="B49" s="213">
        <v>41240</v>
      </c>
      <c r="C49" s="214"/>
      <c r="D49" s="216"/>
      <c r="E49" s="216"/>
      <c r="F49" s="216"/>
      <c r="G49" s="216"/>
      <c r="H49" s="216"/>
      <c r="I49" s="216"/>
      <c r="J49" s="216"/>
      <c r="K49" s="216"/>
      <c r="L49" s="216"/>
      <c r="M49" s="216"/>
    </row>
    <row r="50" spans="1:13" ht="28.5" hidden="1" customHeight="1">
      <c r="A50" s="77"/>
      <c r="B50" s="213">
        <v>41240</v>
      </c>
      <c r="C50" s="214"/>
      <c r="D50" s="216"/>
      <c r="E50" s="216"/>
      <c r="F50" s="216"/>
      <c r="G50" s="216"/>
      <c r="H50" s="216"/>
      <c r="I50" s="216"/>
      <c r="J50" s="216"/>
      <c r="K50" s="216"/>
      <c r="L50" s="216"/>
      <c r="M50" s="216"/>
    </row>
    <row r="51" spans="1:13" ht="18" hidden="1" customHeight="1">
      <c r="A51" s="77"/>
      <c r="B51" s="213">
        <v>41240</v>
      </c>
      <c r="C51" s="214"/>
      <c r="D51" s="216"/>
      <c r="E51" s="216"/>
      <c r="F51" s="216"/>
      <c r="G51" s="216"/>
      <c r="H51" s="216"/>
      <c r="I51" s="216"/>
      <c r="J51" s="216"/>
      <c r="K51" s="216"/>
      <c r="L51" s="216"/>
      <c r="M51" s="216"/>
    </row>
    <row r="52" spans="1:13" ht="18" hidden="1" customHeight="1">
      <c r="A52" s="77"/>
      <c r="B52" s="213">
        <v>41240</v>
      </c>
      <c r="C52" s="214"/>
      <c r="D52" s="216"/>
      <c r="E52" s="216"/>
      <c r="F52" s="216"/>
      <c r="G52" s="216"/>
      <c r="H52" s="216"/>
      <c r="I52" s="216"/>
      <c r="J52" s="216"/>
      <c r="K52" s="216"/>
      <c r="L52" s="216"/>
      <c r="M52" s="216"/>
    </row>
    <row r="53" spans="1:13" ht="18" hidden="1" customHeight="1">
      <c r="A53" s="77"/>
      <c r="B53" s="213">
        <v>41240</v>
      </c>
      <c r="C53" s="214"/>
      <c r="D53" s="216"/>
      <c r="E53" s="216"/>
      <c r="F53" s="216"/>
      <c r="G53" s="216"/>
      <c r="H53" s="216"/>
      <c r="I53" s="216"/>
      <c r="J53" s="216"/>
      <c r="K53" s="216"/>
      <c r="L53" s="216"/>
      <c r="M53" s="216"/>
    </row>
    <row r="54" spans="1:13" ht="18" hidden="1" customHeight="1">
      <c r="A54" s="77"/>
      <c r="B54" s="213">
        <v>41240</v>
      </c>
      <c r="C54" s="214"/>
      <c r="D54" s="215"/>
      <c r="E54" s="215"/>
      <c r="F54" s="215"/>
      <c r="G54" s="215"/>
      <c r="H54" s="215"/>
      <c r="I54" s="215"/>
      <c r="J54" s="215"/>
      <c r="K54" s="215"/>
      <c r="L54" s="215"/>
      <c r="M54" s="215"/>
    </row>
    <row r="55" spans="1:13" ht="18" hidden="1" customHeight="1">
      <c r="A55" s="77"/>
      <c r="B55" s="213">
        <v>41240</v>
      </c>
      <c r="C55" s="214"/>
      <c r="D55" s="215"/>
      <c r="E55" s="215"/>
      <c r="F55" s="215"/>
      <c r="G55" s="215"/>
      <c r="H55" s="215"/>
      <c r="I55" s="215"/>
      <c r="J55" s="215"/>
      <c r="K55" s="215"/>
      <c r="L55" s="215"/>
      <c r="M55" s="215"/>
    </row>
    <row r="56" spans="1:13" hidden="1"/>
    <row r="57" spans="1:13" hidden="1"/>
    <row r="58" spans="1:13" hidden="1"/>
    <row r="59" spans="1:13" hidden="1"/>
  </sheetData>
  <mergeCells count="30">
    <mergeCell ref="B32:B34"/>
    <mergeCell ref="D2:N2"/>
    <mergeCell ref="A3:O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D35:M35"/>
    <mergeCell ref="D36:M36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3:C53"/>
    <mergeCell ref="D53:M53"/>
    <mergeCell ref="B54:C54"/>
    <mergeCell ref="D54:M54"/>
    <mergeCell ref="B55:C55"/>
    <mergeCell ref="D55:M55"/>
  </mergeCells>
  <printOptions horizontalCentered="1"/>
  <pageMargins left="0.23622047244094499" right="0.23622047244094499" top="0.55118110236220497" bottom="0" header="0.31496062992126" footer="0.118110236220472"/>
  <pageSetup orientation="portrait" r:id="rId1"/>
  <headerFooter>
    <oddFooter>&amp;L&amp;P&amp;RApril 4, 2025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803ABE0D8D49B5E3085A09CA80AD" ma:contentTypeVersion="0" ma:contentTypeDescription="Create a new document." ma:contentTypeScope="" ma:versionID="5c5bff420b595a568bcd936699c8060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408531-3E41-42BA-AA1D-FC3BE3838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681CE7-39C7-44AA-BE24-502CBD7FF7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60386A-5082-45CF-BD95-B6B4638E56A3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Confidential</vt:lpstr>
      <vt:lpstr>Molded</vt:lpstr>
      <vt:lpstr>Molded 2</vt:lpstr>
      <vt:lpstr>Flat Panel</vt:lpstr>
      <vt:lpstr>Adders</vt:lpstr>
      <vt:lpstr>Molded Styles</vt:lpstr>
      <vt:lpstr>Doors Availability</vt:lpstr>
      <vt:lpstr>Bifold Availability</vt:lpstr>
      <vt:lpstr>Adders!Print_Area</vt:lpstr>
      <vt:lpstr>'Flat Panel'!Print_Area</vt:lpstr>
      <vt:lpstr>Molded!Print_Area</vt:lpstr>
      <vt:lpstr>'Molded 2'!Print_Area</vt:lpstr>
      <vt:lpstr>'Molded Styles'!Print_Area</vt:lpstr>
    </vt:vector>
  </TitlesOfParts>
  <Company>Prestofix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Prestofix</dc:creator>
  <cp:lastModifiedBy>Russ Miller</cp:lastModifiedBy>
  <cp:lastPrinted>2025-04-09T14:43:39Z</cp:lastPrinted>
  <dcterms:created xsi:type="dcterms:W3CDTF">1998-11-11T13:11:12Z</dcterms:created>
  <dcterms:modified xsi:type="dcterms:W3CDTF">2025-05-08T20:18:35Z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0x010100EAB1803ABE0D8D49B5E3085A09CA80AD</vt:lpwstr>
  </property>
</Properties>
</file>