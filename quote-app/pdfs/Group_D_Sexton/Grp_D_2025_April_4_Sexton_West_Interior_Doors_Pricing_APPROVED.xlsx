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eldweninc1-my.sharepoint.com/personal/russellm_jeld-wen_com/Documents/Desktop/PLM/Price Increase April 4 2025/Interior Doors/WW Apr 4/WW Price Templates/"/>
    </mc:Choice>
  </mc:AlternateContent>
  <xr:revisionPtr revIDLastSave="84" documentId="8_{B030E070-72C3-427C-B0E0-C85A6D093F4B}" xr6:coauthVersionLast="47" xr6:coauthVersionMax="47" xr10:uidLastSave="{A0316B86-6786-4D3A-9374-0A98C85EC234}"/>
  <bookViews>
    <workbookView xWindow="38290" yWindow="-110" windowWidth="38620" windowHeight="21100" tabRatio="941" xr2:uid="{00000000-000D-0000-FFFF-FFFF00000000}"/>
  </bookViews>
  <sheets>
    <sheet name="Cover" sheetId="15" r:id="rId1"/>
    <sheet name="Moulded Panel" sheetId="7" r:id="rId2"/>
    <sheet name="Moulded Panel (2)" sheetId="20" r:id="rId3"/>
    <sheet name="Moulded Panel (3)" sheetId="32" r:id="rId4"/>
    <sheet name="Conmore" sheetId="26" r:id="rId5"/>
    <sheet name="Conmore (2)" sheetId="27" r:id="rId6"/>
    <sheet name="Conmore (3)" sheetId="33" r:id="rId7"/>
    <sheet name="Flat Panel" sheetId="21" r:id="rId8"/>
    <sheet name="Flat Panel (2)" sheetId="22" r:id="rId9"/>
    <sheet name="Flat Panel (3)" sheetId="34" r:id="rId10"/>
    <sheet name="Primed Hardboard" sheetId="23" r:id="rId11"/>
    <sheet name="Primed Hardboard (2)" sheetId="24" r:id="rId12"/>
    <sheet name="Primed Hardboard (3)" sheetId="35" r:id="rId13"/>
    <sheet name="Adders" sheetId="25" r:id="rId14"/>
    <sheet name="Door Availability" sheetId="36" r:id="rId15"/>
    <sheet name="Bifold Availability" sheetId="37" r:id="rId16"/>
  </sheets>
  <definedNames>
    <definedName name="_xlnm.Print_Area" localSheetId="13">Adders!$A$1:$C$34</definedName>
    <definedName name="_xlnm.Print_Area" localSheetId="4">Conmore!$A$1:$G$62</definedName>
    <definedName name="_xlnm.Print_Area" localSheetId="5">'Conmore (2)'!$A$1:$G$48</definedName>
    <definedName name="_xlnm.Print_Area" localSheetId="6">'Conmore (3)'!$A$1:$G$51</definedName>
    <definedName name="_xlnm.Print_Area" localSheetId="0">Cover!$A$1:$G$47</definedName>
    <definedName name="_xlnm.Print_Area" localSheetId="7">'Flat Panel'!$A$1:$G$63</definedName>
    <definedName name="_xlnm.Print_Area" localSheetId="8">'Flat Panel (2)'!$A$1:$G$48</definedName>
    <definedName name="_xlnm.Print_Area" localSheetId="9">'Flat Panel (3)'!$A$1:$G$50</definedName>
    <definedName name="_xlnm.Print_Area" localSheetId="1">'Moulded Panel'!$A$1:$J$65</definedName>
    <definedName name="_xlnm.Print_Area" localSheetId="2">'Moulded Panel (2)'!$A$1:$J$50</definedName>
    <definedName name="_xlnm.Print_Area" localSheetId="3">'Moulded Panel (3)'!$A$1:$I$50</definedName>
    <definedName name="_xlnm.Print_Area" localSheetId="10">'Primed Hardboard'!$A$1:$G$63</definedName>
    <definedName name="_xlnm.Print_Area" localSheetId="11">'Primed Hardboard (2)'!$A$1:$G$49</definedName>
    <definedName name="_xlnm.Print_Area" localSheetId="12">'Primed Hardboard (3)'!$A$1:$G$48</definedName>
    <definedName name="Print_Titles_MI" localSheetId="4">Conmore!$2:$12</definedName>
    <definedName name="Print_Titles_MI" localSheetId="5">'Conmore (2)'!$2:$12</definedName>
    <definedName name="Print_Titles_MI" localSheetId="6">'Conmore (3)'!$2:$12</definedName>
    <definedName name="Print_Titles_MI" localSheetId="7">'Flat Panel'!$2:$12</definedName>
    <definedName name="Print_Titles_MI" localSheetId="8">'Flat Panel (2)'!$2:$12</definedName>
    <definedName name="Print_Titles_MI" localSheetId="9">'Flat Panel (3)'!$2:$12</definedName>
    <definedName name="Print_Titles_MI" localSheetId="1">'Moulded Panel'!$2:$12</definedName>
    <definedName name="Print_Titles_MI" localSheetId="2">'Moulded Panel (2)'!$2:$12</definedName>
    <definedName name="Print_Titles_MI" localSheetId="3">'Moulded Panel (3)'!$2:$12</definedName>
    <definedName name="Print_Titles_MI" localSheetId="10">'Primed Hardboard'!$2:$14</definedName>
    <definedName name="Print_Titles_MI" localSheetId="11">'Primed Hardboard (2)'!$2:$14</definedName>
    <definedName name="Print_Titles_MI" localSheetId="12">'Primed Hardboard (3)'!$2:$14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7" i="24" l="1"/>
  <c r="O32" i="20"/>
  <c r="N64" i="7"/>
  <c r="N63" i="7"/>
  <c r="M47" i="7"/>
  <c r="M46" i="7"/>
  <c r="H35" i="34"/>
  <c r="D27" i="25"/>
  <c r="D26" i="25"/>
  <c r="J46" i="24" l="1"/>
  <c r="J30" i="24"/>
  <c r="J62" i="23"/>
  <c r="J61" i="23"/>
  <c r="J32" i="23"/>
  <c r="J31" i="23"/>
  <c r="N49" i="20" l="1"/>
  <c r="N48" i="20"/>
  <c r="M34" i="7"/>
  <c r="M33" i="7"/>
  <c r="I20" i="34" l="1"/>
  <c r="I21" i="34"/>
  <c r="I22" i="34"/>
  <c r="I23" i="34"/>
  <c r="I24" i="34"/>
  <c r="I25" i="34"/>
  <c r="I26" i="34"/>
  <c r="I27" i="34"/>
  <c r="I28" i="34"/>
  <c r="I29" i="34"/>
  <c r="I30" i="34"/>
  <c r="I31" i="34"/>
  <c r="I19" i="34"/>
  <c r="H47" i="35" l="1"/>
  <c r="H46" i="35"/>
  <c r="H31" i="35"/>
  <c r="H30" i="35"/>
  <c r="H27" i="35"/>
  <c r="H26" i="35"/>
  <c r="H23" i="35"/>
  <c r="H22" i="35"/>
  <c r="H19" i="35"/>
  <c r="H18" i="35"/>
  <c r="H45" i="35"/>
  <c r="H44" i="35"/>
  <c r="H43" i="35"/>
  <c r="H41" i="35"/>
  <c r="H40" i="35"/>
  <c r="H39" i="35"/>
  <c r="H37" i="35"/>
  <c r="H36" i="35"/>
  <c r="H35" i="35"/>
  <c r="H33" i="35"/>
  <c r="A3" i="35"/>
  <c r="A2" i="35"/>
  <c r="H29" i="35"/>
  <c r="H28" i="35"/>
  <c r="H25" i="35"/>
  <c r="H24" i="35"/>
  <c r="H21" i="35"/>
  <c r="H20" i="35"/>
  <c r="H17" i="35"/>
  <c r="H48" i="34"/>
  <c r="H49" i="34"/>
  <c r="H32" i="34"/>
  <c r="H33" i="34"/>
  <c r="H29" i="34"/>
  <c r="H28" i="34"/>
  <c r="H25" i="34"/>
  <c r="H24" i="34"/>
  <c r="H21" i="34"/>
  <c r="H20" i="34"/>
  <c r="H47" i="34"/>
  <c r="H46" i="34"/>
  <c r="H43" i="34"/>
  <c r="H42" i="34"/>
  <c r="H39" i="34"/>
  <c r="H38" i="34"/>
  <c r="A3" i="34"/>
  <c r="A2" i="34"/>
  <c r="H31" i="34"/>
  <c r="H30" i="34"/>
  <c r="H27" i="34"/>
  <c r="H26" i="34"/>
  <c r="H23" i="34"/>
  <c r="H22" i="34"/>
  <c r="H19" i="34"/>
  <c r="I48" i="33"/>
  <c r="I49" i="33"/>
  <c r="I33" i="33"/>
  <c r="I32" i="33"/>
  <c r="I30" i="33"/>
  <c r="I29" i="33"/>
  <c r="I28" i="33"/>
  <c r="I27" i="33"/>
  <c r="I26" i="33"/>
  <c r="I25" i="33"/>
  <c r="I24" i="33"/>
  <c r="I23" i="33"/>
  <c r="I22" i="33"/>
  <c r="I21" i="33"/>
  <c r="I20" i="33"/>
  <c r="I19" i="33"/>
  <c r="I47" i="33"/>
  <c r="I45" i="33"/>
  <c r="I43" i="33"/>
  <c r="I41" i="33"/>
  <c r="I39" i="33"/>
  <c r="I37" i="33"/>
  <c r="A3" i="33"/>
  <c r="A2" i="33"/>
  <c r="I31" i="33"/>
  <c r="K48" i="32"/>
  <c r="K49" i="32"/>
  <c r="K32" i="32"/>
  <c r="K33" i="32"/>
  <c r="K40" i="32"/>
  <c r="K31" i="32"/>
  <c r="K29" i="32"/>
  <c r="K28" i="32"/>
  <c r="K27" i="32"/>
  <c r="K25" i="32"/>
  <c r="K24" i="32"/>
  <c r="K23" i="32"/>
  <c r="K21" i="32"/>
  <c r="K20" i="32"/>
  <c r="K19" i="32"/>
  <c r="K47" i="32"/>
  <c r="K46" i="32"/>
  <c r="K45" i="32"/>
  <c r="K43" i="32"/>
  <c r="K42" i="32"/>
  <c r="K41" i="32"/>
  <c r="K39" i="32"/>
  <c r="K38" i="32"/>
  <c r="K37" i="32"/>
  <c r="A3" i="32"/>
  <c r="A2" i="32"/>
  <c r="K30" i="32"/>
  <c r="K26" i="32"/>
  <c r="K22" i="32"/>
  <c r="A3" i="24"/>
  <c r="A3" i="23"/>
  <c r="A3" i="22"/>
  <c r="A3" i="21"/>
  <c r="A3" i="27"/>
  <c r="A3" i="26"/>
  <c r="A3" i="20"/>
  <c r="H34" i="35" l="1"/>
  <c r="H38" i="35"/>
  <c r="H42" i="35"/>
  <c r="H36" i="34"/>
  <c r="H40" i="34"/>
  <c r="H44" i="34"/>
  <c r="H37" i="34"/>
  <c r="H41" i="34"/>
  <c r="H45" i="34"/>
  <c r="I38" i="33"/>
  <c r="I42" i="33"/>
  <c r="I46" i="33"/>
  <c r="I35" i="33"/>
  <c r="I36" i="33"/>
  <c r="I40" i="33"/>
  <c r="I44" i="33"/>
  <c r="K35" i="32"/>
  <c r="K36" i="32"/>
  <c r="K44" i="32"/>
  <c r="D7" i="25"/>
  <c r="D8" i="25"/>
  <c r="D9" i="25"/>
  <c r="D10" i="25"/>
  <c r="D11" i="25"/>
  <c r="D12" i="25"/>
  <c r="D14" i="25"/>
  <c r="D15" i="25"/>
  <c r="D16" i="25"/>
  <c r="D17" i="25"/>
  <c r="D18" i="25"/>
  <c r="D19" i="25"/>
  <c r="D20" i="25"/>
  <c r="D22" i="25"/>
  <c r="D23" i="25"/>
  <c r="D24" i="25"/>
  <c r="D25" i="25"/>
  <c r="D6" i="25"/>
  <c r="H30" i="24" l="1"/>
  <c r="H44" i="23"/>
  <c r="H45" i="23"/>
  <c r="H45" i="21"/>
  <c r="H46" i="21"/>
  <c r="L46" i="7"/>
  <c r="L47" i="7"/>
  <c r="A2" i="24" l="1"/>
  <c r="A2" i="23"/>
  <c r="A2" i="22"/>
  <c r="A2" i="21"/>
  <c r="A2" i="27"/>
  <c r="A2" i="26"/>
  <c r="A2" i="20"/>
  <c r="H32" i="23" l="1"/>
  <c r="H47" i="24"/>
  <c r="H46" i="24"/>
  <c r="H62" i="23"/>
  <c r="H61" i="23"/>
  <c r="H31" i="23"/>
  <c r="H47" i="22"/>
  <c r="H46" i="22"/>
  <c r="H33" i="21"/>
  <c r="H62" i="21"/>
  <c r="H61" i="21"/>
  <c r="H32" i="21"/>
  <c r="I33" i="26"/>
  <c r="I61" i="26"/>
  <c r="I60" i="26"/>
  <c r="I32" i="26"/>
  <c r="L32" i="20"/>
  <c r="L64" i="7"/>
  <c r="L63" i="7"/>
  <c r="L34" i="7"/>
  <c r="L33" i="7"/>
  <c r="I47" i="27"/>
  <c r="I46" i="27"/>
  <c r="L49" i="20"/>
  <c r="L48" i="20"/>
  <c r="H18" i="24" l="1"/>
  <c r="H19" i="24"/>
  <c r="H20" i="24"/>
  <c r="H21" i="24"/>
  <c r="H22" i="24"/>
  <c r="H23" i="24"/>
  <c r="H24" i="24"/>
  <c r="H25" i="24"/>
  <c r="H26" i="24"/>
  <c r="H27" i="24"/>
  <c r="H28" i="24"/>
  <c r="H29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17" i="24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4" i="23"/>
  <c r="H35" i="23"/>
  <c r="H36" i="23"/>
  <c r="H37" i="23"/>
  <c r="H38" i="23"/>
  <c r="H39" i="23"/>
  <c r="H40" i="23"/>
  <c r="H41" i="23"/>
  <c r="H42" i="23"/>
  <c r="H43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17" i="23"/>
  <c r="H34" i="22"/>
  <c r="H35" i="22"/>
  <c r="H36" i="22"/>
  <c r="H37" i="22"/>
  <c r="H38" i="22"/>
  <c r="H39" i="22"/>
  <c r="H40" i="22"/>
  <c r="H41" i="22"/>
  <c r="H42" i="22"/>
  <c r="H43" i="22"/>
  <c r="H44" i="22"/>
  <c r="H45" i="22"/>
  <c r="H33" i="22"/>
  <c r="H20" i="21"/>
  <c r="H21" i="21"/>
  <c r="H22" i="21"/>
  <c r="H23" i="21"/>
  <c r="H24" i="21"/>
  <c r="H25" i="21"/>
  <c r="H26" i="21"/>
  <c r="H27" i="21"/>
  <c r="H28" i="21"/>
  <c r="H29" i="21"/>
  <c r="H30" i="21"/>
  <c r="H31" i="21"/>
  <c r="H35" i="21"/>
  <c r="H36" i="21"/>
  <c r="H37" i="21"/>
  <c r="H38" i="21"/>
  <c r="H39" i="21"/>
  <c r="H40" i="21"/>
  <c r="H41" i="21"/>
  <c r="H42" i="21"/>
  <c r="H43" i="21"/>
  <c r="H44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19" i="21"/>
  <c r="I34" i="27"/>
  <c r="I35" i="27"/>
  <c r="I36" i="27"/>
  <c r="I37" i="27"/>
  <c r="I38" i="27"/>
  <c r="I39" i="27"/>
  <c r="I40" i="27"/>
  <c r="I41" i="27"/>
  <c r="I42" i="27"/>
  <c r="I43" i="27"/>
  <c r="I44" i="27"/>
  <c r="I45" i="27"/>
  <c r="I33" i="27"/>
  <c r="I20" i="26"/>
  <c r="I21" i="26"/>
  <c r="I22" i="26"/>
  <c r="I23" i="26"/>
  <c r="I24" i="26"/>
  <c r="I25" i="26"/>
  <c r="I26" i="26"/>
  <c r="I27" i="26"/>
  <c r="I28" i="26"/>
  <c r="I29" i="26"/>
  <c r="I30" i="26"/>
  <c r="I31" i="26"/>
  <c r="I35" i="26"/>
  <c r="I36" i="26"/>
  <c r="I37" i="26"/>
  <c r="I38" i="26"/>
  <c r="I39" i="26"/>
  <c r="I40" i="26"/>
  <c r="I41" i="26"/>
  <c r="I42" i="26"/>
  <c r="I43" i="26"/>
  <c r="I44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19" i="26"/>
  <c r="L20" i="20"/>
  <c r="L21" i="20"/>
  <c r="L22" i="20"/>
  <c r="L23" i="20"/>
  <c r="L24" i="20"/>
  <c r="L25" i="20"/>
  <c r="L26" i="20"/>
  <c r="L27" i="20"/>
  <c r="L28" i="20"/>
  <c r="L29" i="20"/>
  <c r="L30" i="20"/>
  <c r="L31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19" i="20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6" i="7"/>
  <c r="L37" i="7"/>
  <c r="L38" i="7"/>
  <c r="L39" i="7"/>
  <c r="L40" i="7"/>
  <c r="L41" i="7"/>
  <c r="L42" i="7"/>
  <c r="L43" i="7"/>
  <c r="L44" i="7"/>
  <c r="L45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19" i="7"/>
</calcChain>
</file>

<file path=xl/sharedStrings.xml><?xml version="1.0" encoding="utf-8"?>
<sst xmlns="http://schemas.openxmlformats.org/spreadsheetml/2006/main" count="1705" uniqueCount="137">
  <si>
    <t>Slab 1 3/8 hollow core</t>
  </si>
  <si>
    <t>Slab 1 3/4 solid core</t>
  </si>
  <si>
    <t>Slab 1 3/4 hollow core</t>
  </si>
  <si>
    <t>Size</t>
  </si>
  <si>
    <t>CAMDEN</t>
  </si>
  <si>
    <t xml:space="preserve"> SANTA FE</t>
  </si>
  <si>
    <t xml:space="preserve"> ROCKPORT</t>
  </si>
  <si>
    <t>CARRARA</t>
  </si>
  <si>
    <t>COLONIST TEXTURED</t>
  </si>
  <si>
    <t>Slab</t>
  </si>
  <si>
    <t>Bifold</t>
  </si>
  <si>
    <t>6'8"</t>
  </si>
  <si>
    <t>6'8", 7'0", 8'0"</t>
  </si>
  <si>
    <t>6'8", 7'0"</t>
  </si>
  <si>
    <r>
      <rPr>
        <b/>
        <sz val="14"/>
        <color rgb="FFFF0000"/>
        <rFont val="Arial"/>
        <family val="2"/>
      </rPr>
      <t xml:space="preserve"> </t>
    </r>
    <r>
      <rPr>
        <b/>
        <sz val="14"/>
        <rFont val="Arial"/>
        <family val="2"/>
      </rPr>
      <t>PRICE LIST</t>
    </r>
  </si>
  <si>
    <t>CONMORE</t>
  </si>
  <si>
    <t>CRAFTSMAN</t>
  </si>
  <si>
    <t>MADISON</t>
  </si>
  <si>
    <t>MONROE</t>
  </si>
  <si>
    <t>BIRKDALE</t>
  </si>
  <si>
    <t>24" x 80"</t>
  </si>
  <si>
    <t>30" x 80"</t>
  </si>
  <si>
    <t>32" x 80"</t>
  </si>
  <si>
    <t>Slab 1 3/8 solid core (Procore)</t>
  </si>
  <si>
    <t>36" x 80"</t>
  </si>
  <si>
    <t>(3'0" x 6'8")</t>
  </si>
  <si>
    <t>Interior Door Price List</t>
  </si>
  <si>
    <t>(2'8" x 6'8")</t>
  </si>
  <si>
    <t>18" x 80"</t>
  </si>
  <si>
    <t>(1'6" x 6'8")</t>
  </si>
  <si>
    <t>12" x 80"</t>
  </si>
  <si>
    <t>(1'0" x 6'8")</t>
  </si>
  <si>
    <t>14" x 80"</t>
  </si>
  <si>
    <t>16" x 80"</t>
  </si>
  <si>
    <t>20" x 80"</t>
  </si>
  <si>
    <t>22" x 80"</t>
  </si>
  <si>
    <t>26" x 80"</t>
  </si>
  <si>
    <t>28" x 80"</t>
  </si>
  <si>
    <t>34" x 80"</t>
  </si>
  <si>
    <t>(1'2" x 6'8")</t>
  </si>
  <si>
    <t>(1'4" x 6'8")</t>
  </si>
  <si>
    <t>(1'8" x 6'8")</t>
  </si>
  <si>
    <t>(1'10" x 6'8")</t>
  </si>
  <si>
    <t>(2'0" x 6'8")</t>
  </si>
  <si>
    <t>(2'2" x 6'8")</t>
  </si>
  <si>
    <t>(2'4" x 6'8")</t>
  </si>
  <si>
    <t>(2'6" x 6'8")</t>
  </si>
  <si>
    <t>(2'10" x 6'8")</t>
  </si>
  <si>
    <t>PRIMED 
HARDBOARD</t>
  </si>
  <si>
    <t>N/A</t>
  </si>
  <si>
    <t>Flat Panel</t>
  </si>
  <si>
    <t>Moulded</t>
  </si>
  <si>
    <t>Adders</t>
  </si>
  <si>
    <t>Additional Options</t>
  </si>
  <si>
    <t>List qty
(1100)</t>
  </si>
  <si>
    <t>38" x 80"</t>
  </si>
  <si>
    <t>(3'2" x 6'8")</t>
  </si>
  <si>
    <t>(3'2" x 6'8") EURO</t>
  </si>
  <si>
    <t>Bifold 1 3/8 c/w hardware</t>
  </si>
  <si>
    <t>HEIGHT 84" Add</t>
  </si>
  <si>
    <t>HEIGHT 96" Add</t>
  </si>
  <si>
    <t>modèle / model</t>
  </si>
  <si>
    <t>12''</t>
  </si>
  <si>
    <t>14''</t>
  </si>
  <si>
    <t>16''</t>
  </si>
  <si>
    <t>18''</t>
  </si>
  <si>
    <t>20''</t>
  </si>
  <si>
    <t>22''</t>
  </si>
  <si>
    <t>24''</t>
  </si>
  <si>
    <t>26''</t>
  </si>
  <si>
    <t>28''</t>
  </si>
  <si>
    <t>30''</t>
  </si>
  <si>
    <t>32''</t>
  </si>
  <si>
    <t>34''</t>
  </si>
  <si>
    <t>36''</t>
  </si>
  <si>
    <t>80''</t>
  </si>
  <si>
    <t>X</t>
  </si>
  <si>
    <t>84''</t>
  </si>
  <si>
    <t>96''</t>
  </si>
  <si>
    <t>COLONIST      TEXT</t>
  </si>
  <si>
    <t>ROCKPORT</t>
  </si>
  <si>
    <t>SANTA FE</t>
  </si>
  <si>
    <t>Non disponible / Not Available size</t>
  </si>
  <si>
    <t>x</t>
  </si>
  <si>
    <t xml:space="preserve">Disponible / Available </t>
  </si>
  <si>
    <t>notes internes</t>
  </si>
  <si>
    <t>ajot AVA 84'' x 18 à 36 incl, contl 16x84, rock 16x84''</t>
  </si>
  <si>
    <t>ajout carrara 80 84 96'', contl 28 et 32x96 , de 4 a 5, ajout coventry 84 et 96</t>
  </si>
  <si>
    <t>Avalon 26- de cmi à skin JW ( batt de 5,3/16 à 3,3/16)</t>
  </si>
  <si>
    <t>ajout Monroe, enlevé atherton ( Kathya ) , enlevé avalon 84'' ( Kathya )</t>
  </si>
  <si>
    <t>enlevé arl bostonian, stanford, ajouté colonist tex col smth, coventry, monroe a venir</t>
  </si>
  <si>
    <t>MAJ liste prix 2014, ajout 96 = ath 12à20 inc, camb 12 a 16 inc, cont 12 a 16 inc, princ 12 a 20 inc, safe 12 a 16 inc. Miroir changé 2,3/8 seuelement pour la r`gle affichée</t>
  </si>
  <si>
    <t>ajout Conmore + Madison + note exécutive + détail du mini bkst 2.3/8</t>
  </si>
  <si>
    <r>
      <t xml:space="preserve">note backset 2.3/8 = diam trou poignée 2.1/8 + 1/2 diam ( 1.1/16) = 3.7/16 + rosette finition 2.5/8 ou 3.7/16 + 1/4 = 3.11/16 + var shaper 1/8 = </t>
    </r>
    <r>
      <rPr>
        <b/>
        <sz val="10"/>
        <rFont val="Arial"/>
        <family val="2"/>
      </rPr>
      <t>3.13/16</t>
    </r>
  </si>
  <si>
    <t>revision pann bos 20''x80 et 84'' = ok batt 4.1/16 , ok backset 2.3/8</t>
  </si>
  <si>
    <t>revision bos 20x96, batt 5.1/8</t>
  </si>
  <si>
    <t>cont 16 et 18 x 80 et 84 sous min requis backset 2.3/8</t>
  </si>
  <si>
    <t>craftsman 12x80 et 84, sous min requis backset 2.3/8</t>
  </si>
  <si>
    <t>rockport 16x80 sous min requis backset 2.3/8</t>
  </si>
  <si>
    <t xml:space="preserve">                       St-Henri, QC</t>
  </si>
  <si>
    <t>79''</t>
  </si>
  <si>
    <t xml:space="preserve">Non disponible / Not Available </t>
  </si>
  <si>
    <t>45 Min Fire Rated Flush (includes prep for 3 hinges &amp; cyl lock)</t>
  </si>
  <si>
    <t>45 Min Fire Rated  Moulded (includes prep for 3 hinges &amp; cyl lock)</t>
  </si>
  <si>
    <t>60 - 90 Min  Fire Rated Flush (includes prep for 3 hinges &amp; cyl lock)</t>
  </si>
  <si>
    <t>List qty
(1 to 1099)</t>
  </si>
  <si>
    <t>Machining lock 1 side for slider</t>
  </si>
  <si>
    <r>
      <t xml:space="preserve">EURO
</t>
    </r>
    <r>
      <rPr>
        <b/>
        <sz val="8"/>
        <rFont val="Arial"/>
        <family val="2"/>
      </rPr>
      <t>Only available 
in 38" width</t>
    </r>
  </si>
  <si>
    <t>Machining 2 or 3 hinges &amp; cyl. Lock (1 3/8)</t>
  </si>
  <si>
    <t>Machining 3 hinges &amp; cyl. Lock (1 3/4)</t>
  </si>
  <si>
    <t>Machining 3 hinges &amp; cyl. Lock (1 3/4)  for 20 min</t>
  </si>
  <si>
    <t>1 3/8" HC Easy-Install FJ Pine 4 9/16 x 9/16 (KD Unit)</t>
  </si>
  <si>
    <t>Double Door = (EASY-IN x 2) + Flushbolt or Ball Catches</t>
  </si>
  <si>
    <t>NET PRICE LIST (April 4, 2025)</t>
  </si>
  <si>
    <t>Sexton Ontario
(1 to 1099)</t>
  </si>
  <si>
    <t>Sexton Ontario
TL</t>
  </si>
  <si>
    <t>SEXTON WEST</t>
  </si>
  <si>
    <t>1 3/8" HC Prehung FJ Primed 4 5/8 x 11/16 (assembled unit)</t>
  </si>
  <si>
    <t xml:space="preserve"> Doors - sizes available</t>
  </si>
  <si>
    <t>Willmar</t>
  </si>
  <si>
    <t>Bifolds - sizes available</t>
  </si>
  <si>
    <t>Jamb Add-ons: add to Hollow Core or Solid Core Slabs</t>
  </si>
  <si>
    <t>4-9/16" MDF jamb for an Easy IN</t>
  </si>
  <si>
    <t>6-9/16" MDF jamb for an Easy IN</t>
  </si>
  <si>
    <t>4-9/16" FJP jamb for Easy IN</t>
  </si>
  <si>
    <t>6-9/16" FJP jamb for Easy IN</t>
  </si>
  <si>
    <t>4-9/16" FJ Primed for Prehung</t>
  </si>
  <si>
    <t>4-9/16" FJP jamb Rabbeted Prehung</t>
  </si>
  <si>
    <t>6-9/16" FJP jamb Rabbeted Prehung</t>
  </si>
  <si>
    <t>Hinge Finish</t>
  </si>
  <si>
    <t>Ball Catch</t>
  </si>
  <si>
    <t>Flush Bolt</t>
  </si>
  <si>
    <t>BB Hinges</t>
  </si>
  <si>
    <t>Options</t>
  </si>
  <si>
    <t>(20 of the same size/style or more=$0.00)</t>
  </si>
  <si>
    <t xml:space="preserve">Non-Standard Charge </t>
  </si>
  <si>
    <t>Regional Freight Rates 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</si>
</sst>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  <numFmt numFmtId="167" formatCode="0.00000"/>
    <numFmt numFmtId="168" formatCode="0.000000"/>
    <numFmt numFmtId="169" formatCode="&quot;$&quot;#,##0.0000_);\(&quot;$&quot;#,##0.0000\)"/>
    <numFmt numFmtId="170" formatCode="&quot;$&quot;#,##0.00000_);\(&quot;$&quot;#,##0.00000\)"/>
    <numFmt numFmtId="171" formatCode="0.0000"/>
    <numFmt numFmtId="172" formatCode="&quot;$&quot;#,##0.0000"/>
    <numFmt numFmtId="173" formatCode="0.0%"/>
    <numFmt numFmtId="174" formatCode="_-* #,##0.000_-;\-* #,##0.000_-;_-* &quot;-&quot;??_-;_-@_-"/>
    <numFmt numFmtId="175" formatCode="#&quot; &quot;??/16"/>
    <numFmt numFmtId="176" formatCode="0.000"/>
  </numFmts>
  <fonts count="54">
    <font>
      <sz val="12"/>
      <name val="CG Omega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name val="Arial Narrow"/>
      <family val="2"/>
    </font>
    <font>
      <sz val="8"/>
      <color indexed="8"/>
      <name val="Tahoma"/>
      <family val="2"/>
    </font>
    <font>
      <sz val="7"/>
      <color indexed="8"/>
      <name val="Arial Narrow"/>
      <family val="2"/>
    </font>
    <font>
      <b/>
      <sz val="9"/>
      <name val="Times New Roman"/>
      <family val="1"/>
    </font>
    <font>
      <sz val="8"/>
      <color indexed="9"/>
      <name val="Arial"/>
      <family val="2"/>
    </font>
    <font>
      <sz val="7"/>
      <color indexed="9"/>
      <name val="Arial Narrow"/>
      <family val="2"/>
    </font>
    <font>
      <sz val="6"/>
      <color indexed="9"/>
      <name val="Arial Narrow"/>
      <family val="2"/>
    </font>
    <font>
      <sz val="5"/>
      <color indexed="9"/>
      <name val="Tahoma"/>
      <family val="2"/>
    </font>
    <font>
      <sz val="10"/>
      <name val="Courier"/>
      <family val="3"/>
    </font>
    <font>
      <b/>
      <sz val="8"/>
      <color indexed="8"/>
      <name val="Tahoma"/>
      <family val="2"/>
    </font>
    <font>
      <b/>
      <sz val="10"/>
      <name val="Arial Narrow"/>
      <family val="2"/>
    </font>
    <font>
      <sz val="9"/>
      <name val="Times New Roman"/>
      <family val="1"/>
    </font>
    <font>
      <b/>
      <sz val="11"/>
      <name val="Arial Narrow"/>
      <family val="2"/>
    </font>
    <font>
      <b/>
      <i/>
      <sz val="11"/>
      <name val="Arial Narrow"/>
      <family val="2"/>
    </font>
    <font>
      <b/>
      <sz val="14"/>
      <name val="Arial Narrow"/>
      <family val="2"/>
    </font>
    <font>
      <b/>
      <sz val="11"/>
      <color indexed="8"/>
      <name val="Calibri"/>
      <family val="2"/>
    </font>
    <font>
      <b/>
      <sz val="14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22"/>
      <name val="CG Omega"/>
      <family val="2"/>
    </font>
    <font>
      <sz val="28"/>
      <name val="CG Omega"/>
      <family val="2"/>
    </font>
    <font>
      <sz val="48"/>
      <name val="CG Omega"/>
      <family val="2"/>
    </font>
    <font>
      <b/>
      <sz val="10"/>
      <name val="CG Omega"/>
      <family val="2"/>
    </font>
    <font>
      <sz val="12"/>
      <name val="CG Omega"/>
      <family val="2"/>
    </font>
    <font>
      <sz val="24"/>
      <name val="CG Omega"/>
      <family val="2"/>
    </font>
    <font>
      <b/>
      <sz val="2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5"/>
      <name val="Arial"/>
      <family val="2"/>
    </font>
    <font>
      <b/>
      <sz val="19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b/>
      <u val="double"/>
      <sz val="12"/>
      <name val="Arial"/>
      <family val="2"/>
    </font>
    <font>
      <b/>
      <u val="double"/>
      <sz val="11"/>
      <name val="Arial"/>
      <family val="2"/>
    </font>
    <font>
      <b/>
      <i/>
      <sz val="14"/>
      <name val="Arial"/>
      <family val="2"/>
    </font>
    <font>
      <b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 style="double">
        <color theme="2" tint="-0.89999084444715716"/>
      </top>
      <bottom/>
      <diagonal/>
    </border>
    <border>
      <left style="double">
        <color theme="2" tint="-0.89999084444715716"/>
      </left>
      <right/>
      <top/>
      <bottom/>
      <diagonal/>
    </border>
    <border>
      <left style="double">
        <color theme="2" tint="-0.89999084444715716"/>
      </left>
      <right style="double">
        <color theme="2" tint="-0.89999084444715716"/>
      </right>
      <top style="double">
        <color theme="2" tint="-0.89999084444715716"/>
      </top>
      <bottom style="double">
        <color theme="2" tint="-0.89999084444715716"/>
      </bottom>
      <diagonal/>
    </border>
    <border>
      <left/>
      <right style="double">
        <color theme="2" tint="-0.89999084444715716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double">
        <color indexed="8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8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</borders>
  <cellStyleXfs count="35">
    <xf numFmtId="0" fontId="0" fillId="0" borderId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2" fontId="4" fillId="0" borderId="1">
      <alignment horizont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Protection="0">
      <alignment horizontal="left" vertical="center"/>
    </xf>
    <xf numFmtId="0" fontId="6" fillId="8" borderId="0" applyNumberFormat="0" applyProtection="0">
      <alignment horizontal="center" vertical="center"/>
    </xf>
    <xf numFmtId="0" fontId="7" fillId="0" borderId="2"/>
    <xf numFmtId="0" fontId="8" fillId="9" borderId="3" applyNumberFormat="0" applyProtection="0">
      <alignment horizontal="center" vertical="center" wrapText="1"/>
    </xf>
    <xf numFmtId="0" fontId="9" fillId="9" borderId="3" applyNumberFormat="0" applyProtection="0">
      <alignment horizontal="center" vertical="center" wrapText="1"/>
    </xf>
    <xf numFmtId="0" fontId="10" fillId="9" borderId="3" applyNumberFormat="0" applyProtection="0">
      <alignment horizontal="center" vertical="center" wrapText="1"/>
    </xf>
    <xf numFmtId="0" fontId="11" fillId="9" borderId="3" applyNumberFormat="0" applyProtection="0">
      <alignment horizontal="center" vertical="center" wrapText="1"/>
    </xf>
    <xf numFmtId="0" fontId="12" fillId="0" borderId="0"/>
    <xf numFmtId="0" fontId="28" fillId="0" borderId="0"/>
    <xf numFmtId="0" fontId="13" fillId="0" borderId="0" applyNumberFormat="0" applyFill="0" applyBorder="0" applyProtection="0">
      <alignment horizontal="left" vertical="center"/>
    </xf>
    <xf numFmtId="0" fontId="14" fillId="0" borderId="0">
      <alignment horizontal="right"/>
    </xf>
    <xf numFmtId="0" fontId="15" fillId="0" borderId="0">
      <alignment horizontal="left" vertical="center"/>
    </xf>
    <xf numFmtId="0" fontId="16" fillId="0" borderId="4" applyBorder="0">
      <alignment horizontal="center" vertical="center"/>
    </xf>
    <xf numFmtId="0" fontId="17" fillId="0" borderId="0">
      <alignment horizontal="center"/>
    </xf>
    <xf numFmtId="0" fontId="16" fillId="0" borderId="5">
      <alignment horizontal="center" vertical="center"/>
    </xf>
    <xf numFmtId="0" fontId="18" fillId="0" borderId="6">
      <alignment horizontal="center" vertical="center"/>
    </xf>
    <xf numFmtId="0" fontId="16" fillId="0" borderId="0">
      <alignment vertical="top"/>
    </xf>
    <xf numFmtId="0" fontId="19" fillId="0" borderId="7" applyNumberFormat="0" applyFill="0" applyAlignment="0" applyProtection="0"/>
    <xf numFmtId="0" fontId="30" fillId="0" borderId="0"/>
    <xf numFmtId="164" fontId="30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30" fillId="0" borderId="0"/>
  </cellStyleXfs>
  <cellXfs count="299"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center" vertical="center" shrinkToFit="1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7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22" applyFont="1" applyBorder="1">
      <alignment horizontal="center" vertical="center"/>
    </xf>
    <xf numFmtId="0" fontId="23" fillId="0" borderId="0" xfId="22" applyFont="1" applyBorder="1" applyAlignment="1">
      <alignment horizontal="centerContinuous" vertical="center"/>
    </xf>
    <xf numFmtId="0" fontId="23" fillId="0" borderId="0" xfId="22" applyFont="1" applyBorder="1" applyAlignment="1">
      <alignment horizontal="centerContinuous" vertical="center" wrapText="1"/>
    </xf>
    <xf numFmtId="0" fontId="25" fillId="0" borderId="0" xfId="0" applyFont="1"/>
    <xf numFmtId="0" fontId="31" fillId="0" borderId="0" xfId="22" applyFont="1" applyBorder="1">
      <alignment horizontal="center" vertical="center"/>
    </xf>
    <xf numFmtId="0" fontId="27" fillId="0" borderId="14" xfId="22" applyFont="1" applyBorder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7" fillId="0" borderId="12" xfId="22" applyFont="1" applyBorder="1">
      <alignment horizontal="center" vertical="center"/>
    </xf>
    <xf numFmtId="0" fontId="27" fillId="0" borderId="14" xfId="22" applyFont="1" applyBorder="1" applyAlignment="1">
      <alignment horizontal="centerContinuous" vertical="center"/>
    </xf>
    <xf numFmtId="0" fontId="31" fillId="0" borderId="14" xfId="22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35" fillId="0" borderId="0" xfId="0" applyFont="1"/>
    <xf numFmtId="0" fontId="36" fillId="0" borderId="0" xfId="0" applyFont="1" applyAlignment="1">
      <alignment vertical="center"/>
    </xf>
    <xf numFmtId="0" fontId="31" fillId="0" borderId="13" xfId="22" applyFont="1" applyBorder="1">
      <alignment horizontal="center" vertical="center"/>
    </xf>
    <xf numFmtId="0" fontId="25" fillId="0" borderId="0" xfId="0" applyFont="1" applyAlignment="1">
      <alignment vertical="center"/>
    </xf>
    <xf numFmtId="7" fontId="33" fillId="0" borderId="0" xfId="0" applyNumberFormat="1" applyFont="1" applyAlignment="1">
      <alignment horizontal="center" vertical="center"/>
    </xf>
    <xf numFmtId="0" fontId="37" fillId="0" borderId="0" xfId="0" applyFont="1"/>
    <xf numFmtId="17" fontId="37" fillId="0" borderId="0" xfId="0" applyNumberFormat="1" applyFont="1" applyAlignment="1">
      <alignment horizontal="left"/>
    </xf>
    <xf numFmtId="7" fontId="33" fillId="0" borderId="0" xfId="0" applyNumberFormat="1" applyFont="1" applyAlignment="1">
      <alignment vertical="center"/>
    </xf>
    <xf numFmtId="7" fontId="25" fillId="0" borderId="0" xfId="0" applyNumberFormat="1" applyFont="1" applyAlignment="1">
      <alignment wrapText="1"/>
    </xf>
    <xf numFmtId="9" fontId="25" fillId="0" borderId="0" xfId="30" applyFont="1" applyProtection="1"/>
    <xf numFmtId="9" fontId="22" fillId="0" borderId="0" xfId="30" applyFont="1"/>
    <xf numFmtId="0" fontId="2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9" fontId="25" fillId="0" borderId="0" xfId="30" applyFont="1" applyAlignment="1" applyProtection="1">
      <alignment horizontal="left"/>
    </xf>
    <xf numFmtId="0" fontId="27" fillId="0" borderId="0" xfId="22" applyFont="1" applyBorder="1">
      <alignment horizontal="center" vertical="center"/>
    </xf>
    <xf numFmtId="0" fontId="27" fillId="0" borderId="0" xfId="22" applyFont="1" applyBorder="1" applyAlignment="1">
      <alignment horizontal="centerContinuous" vertical="center"/>
    </xf>
    <xf numFmtId="0" fontId="31" fillId="0" borderId="0" xfId="22" applyFont="1" applyBorder="1" applyAlignment="1">
      <alignment horizontal="center" vertical="center" wrapText="1"/>
    </xf>
    <xf numFmtId="0" fontId="42" fillId="0" borderId="0" xfId="31" applyFont="1" applyAlignment="1">
      <alignment vertical="center"/>
    </xf>
    <xf numFmtId="7" fontId="25" fillId="0" borderId="8" xfId="0" applyNumberFormat="1" applyFont="1" applyBorder="1" applyAlignment="1">
      <alignment horizontal="center" vertical="center" wrapText="1"/>
    </xf>
    <xf numFmtId="0" fontId="27" fillId="0" borderId="14" xfId="22" applyFont="1" applyBorder="1" applyAlignment="1">
      <alignment horizontal="center" vertical="center" wrapText="1"/>
    </xf>
    <xf numFmtId="167" fontId="25" fillId="0" borderId="0" xfId="0" applyNumberFormat="1" applyFont="1"/>
    <xf numFmtId="168" fontId="25" fillId="0" borderId="0" xfId="0" applyNumberFormat="1" applyFont="1" applyAlignment="1">
      <alignment horizontal="left"/>
    </xf>
    <xf numFmtId="168" fontId="25" fillId="0" borderId="0" xfId="0" applyNumberFormat="1" applyFont="1"/>
    <xf numFmtId="167" fontId="22" fillId="0" borderId="0" xfId="0" applyNumberFormat="1" applyFont="1"/>
    <xf numFmtId="168" fontId="22" fillId="0" borderId="0" xfId="0" applyNumberFormat="1" applyFont="1"/>
    <xf numFmtId="169" fontId="25" fillId="0" borderId="0" xfId="0" applyNumberFormat="1" applyFont="1"/>
    <xf numFmtId="170" fontId="25" fillId="0" borderId="0" xfId="0" applyNumberFormat="1" applyFont="1"/>
    <xf numFmtId="170" fontId="25" fillId="0" borderId="0" xfId="0" applyNumberFormat="1" applyFont="1" applyAlignment="1">
      <alignment horizontal="left"/>
    </xf>
    <xf numFmtId="170" fontId="22" fillId="0" borderId="0" xfId="0" applyNumberFormat="1" applyFont="1"/>
    <xf numFmtId="0" fontId="31" fillId="0" borderId="14" xfId="22" applyFont="1" applyBorder="1">
      <alignment horizontal="center" vertical="center"/>
    </xf>
    <xf numFmtId="7" fontId="25" fillId="0" borderId="0" xfId="0" applyNumberFormat="1" applyFont="1" applyAlignment="1">
      <alignment horizontal="center" vertical="center" wrapText="1"/>
    </xf>
    <xf numFmtId="9" fontId="33" fillId="0" borderId="0" xfId="30" applyFont="1" applyFill="1" applyBorder="1" applyAlignment="1" applyProtection="1">
      <alignment horizontal="center" vertical="center"/>
    </xf>
    <xf numFmtId="0" fontId="43" fillId="0" borderId="0" xfId="31" applyFont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166" fontId="43" fillId="0" borderId="0" xfId="31" applyNumberFormat="1" applyFont="1" applyAlignment="1">
      <alignment horizontal="center" vertical="center"/>
    </xf>
    <xf numFmtId="0" fontId="40" fillId="0" borderId="38" xfId="31" applyFont="1" applyBorder="1" applyAlignment="1">
      <alignment horizontal="center" vertical="center"/>
    </xf>
    <xf numFmtId="174" fontId="42" fillId="0" borderId="0" xfId="33" applyNumberFormat="1" applyFont="1" applyAlignment="1">
      <alignment vertical="center"/>
    </xf>
    <xf numFmtId="174" fontId="42" fillId="0" borderId="0" xfId="33" applyNumberFormat="1" applyFont="1" applyFill="1" applyAlignment="1">
      <alignment vertical="center"/>
    </xf>
    <xf numFmtId="165" fontId="25" fillId="0" borderId="0" xfId="33" applyFont="1" applyProtection="1"/>
    <xf numFmtId="165" fontId="25" fillId="0" borderId="0" xfId="33" applyFont="1" applyBorder="1" applyAlignment="1" applyProtection="1"/>
    <xf numFmtId="166" fontId="22" fillId="0" borderId="0" xfId="0" applyNumberFormat="1" applyFont="1" applyAlignment="1">
      <alignment horizontal="left"/>
    </xf>
    <xf numFmtId="172" fontId="25" fillId="0" borderId="0" xfId="0" applyNumberFormat="1" applyFont="1" applyAlignment="1">
      <alignment horizontal="left"/>
    </xf>
    <xf numFmtId="172" fontId="22" fillId="0" borderId="0" xfId="0" applyNumberFormat="1" applyFont="1" applyAlignment="1">
      <alignment horizontal="left"/>
    </xf>
    <xf numFmtId="0" fontId="42" fillId="0" borderId="0" xfId="31" applyFont="1" applyAlignment="1">
      <alignment horizontal="right" vertical="center"/>
    </xf>
    <xf numFmtId="0" fontId="30" fillId="0" borderId="0" xfId="34"/>
    <xf numFmtId="0" fontId="27" fillId="0" borderId="0" xfId="34" applyFont="1" applyAlignment="1">
      <alignment horizontal="center"/>
    </xf>
    <xf numFmtId="0" fontId="30" fillId="0" borderId="0" xfId="34" applyAlignment="1">
      <alignment horizontal="center"/>
    </xf>
    <xf numFmtId="0" fontId="46" fillId="0" borderId="0" xfId="34" applyFont="1" applyAlignment="1">
      <alignment horizontal="left"/>
    </xf>
    <xf numFmtId="13" fontId="31" fillId="0" borderId="33" xfId="34" applyNumberFormat="1" applyFont="1" applyBorder="1" applyAlignment="1">
      <alignment horizontal="center" vertical="center"/>
    </xf>
    <xf numFmtId="13" fontId="31" fillId="0" borderId="51" xfId="34" applyNumberFormat="1" applyFont="1" applyBorder="1" applyAlignment="1">
      <alignment horizontal="center" vertical="center"/>
    </xf>
    <xf numFmtId="13" fontId="31" fillId="0" borderId="43" xfId="34" applyNumberFormat="1" applyFont="1" applyBorder="1" applyAlignment="1">
      <alignment horizontal="center" vertical="center"/>
    </xf>
    <xf numFmtId="13" fontId="31" fillId="13" borderId="31" xfId="34" applyNumberFormat="1" applyFont="1" applyFill="1" applyBorder="1" applyAlignment="1">
      <alignment horizontal="center" vertical="center"/>
    </xf>
    <xf numFmtId="13" fontId="31" fillId="0" borderId="53" xfId="34" applyNumberFormat="1" applyFont="1" applyBorder="1" applyAlignment="1">
      <alignment horizontal="center" vertical="center"/>
    </xf>
    <xf numFmtId="13" fontId="31" fillId="0" borderId="31" xfId="34" applyNumberFormat="1" applyFont="1" applyBorder="1" applyAlignment="1">
      <alignment horizontal="center" vertical="center"/>
    </xf>
    <xf numFmtId="13" fontId="31" fillId="0" borderId="44" xfId="34" applyNumberFormat="1" applyFont="1" applyBorder="1" applyAlignment="1">
      <alignment horizontal="center" vertical="center"/>
    </xf>
    <xf numFmtId="13" fontId="31" fillId="13" borderId="32" xfId="34" applyNumberFormat="1" applyFont="1" applyFill="1" applyBorder="1" applyAlignment="1">
      <alignment horizontal="center" vertical="center"/>
    </xf>
    <xf numFmtId="13" fontId="31" fillId="0" borderId="55" xfId="34" applyNumberFormat="1" applyFont="1" applyBorder="1" applyAlignment="1">
      <alignment horizontal="center" vertical="center"/>
    </xf>
    <xf numFmtId="13" fontId="31" fillId="0" borderId="32" xfId="34" applyNumberFormat="1" applyFont="1" applyBorder="1" applyAlignment="1">
      <alignment horizontal="center" vertical="center"/>
    </xf>
    <xf numFmtId="13" fontId="31" fillId="0" borderId="46" xfId="34" applyNumberFormat="1" applyFont="1" applyBorder="1" applyAlignment="1">
      <alignment horizontal="center" vertical="center"/>
    </xf>
    <xf numFmtId="13" fontId="33" fillId="13" borderId="31" xfId="34" applyNumberFormat="1" applyFont="1" applyFill="1" applyBorder="1" applyAlignment="1">
      <alignment horizontal="center" vertical="center"/>
    </xf>
    <xf numFmtId="13" fontId="33" fillId="13" borderId="53" xfId="34" applyNumberFormat="1" applyFont="1" applyFill="1" applyBorder="1" applyAlignment="1">
      <alignment horizontal="center" vertical="center"/>
    </xf>
    <xf numFmtId="13" fontId="33" fillId="13" borderId="44" xfId="34" applyNumberFormat="1" applyFont="1" applyFill="1" applyBorder="1" applyAlignment="1">
      <alignment horizontal="center" vertical="center"/>
    </xf>
    <xf numFmtId="13" fontId="33" fillId="13" borderId="32" xfId="34" applyNumberFormat="1" applyFont="1" applyFill="1" applyBorder="1" applyAlignment="1">
      <alignment horizontal="center" vertical="center"/>
    </xf>
    <xf numFmtId="13" fontId="33" fillId="13" borderId="55" xfId="34" applyNumberFormat="1" applyFont="1" applyFill="1" applyBorder="1" applyAlignment="1">
      <alignment horizontal="center" vertical="center"/>
    </xf>
    <xf numFmtId="13" fontId="33" fillId="13" borderId="46" xfId="34" applyNumberFormat="1" applyFont="1" applyFill="1" applyBorder="1" applyAlignment="1">
      <alignment horizontal="center" vertical="center"/>
    </xf>
    <xf numFmtId="13" fontId="31" fillId="0" borderId="35" xfId="34" applyNumberFormat="1" applyFont="1" applyBorder="1" applyAlignment="1">
      <alignment horizontal="center" vertical="center"/>
    </xf>
    <xf numFmtId="13" fontId="31" fillId="0" borderId="0" xfId="34" applyNumberFormat="1" applyFont="1" applyAlignment="1">
      <alignment horizontal="center" vertical="center"/>
    </xf>
    <xf numFmtId="13" fontId="31" fillId="0" borderId="34" xfId="34" applyNumberFormat="1" applyFont="1" applyBorder="1" applyAlignment="1">
      <alignment horizontal="center" vertical="center"/>
    </xf>
    <xf numFmtId="13" fontId="31" fillId="13" borderId="35" xfId="34" applyNumberFormat="1" applyFont="1" applyFill="1" applyBorder="1" applyAlignment="1">
      <alignment horizontal="center" vertical="center"/>
    </xf>
    <xf numFmtId="13" fontId="31" fillId="0" borderId="30" xfId="34" applyNumberFormat="1" applyFont="1" applyBorder="1" applyAlignment="1">
      <alignment horizontal="center" vertical="center"/>
    </xf>
    <xf numFmtId="13" fontId="31" fillId="0" borderId="39" xfId="34" applyNumberFormat="1" applyFont="1" applyBorder="1" applyAlignment="1">
      <alignment horizontal="center" vertical="center"/>
    </xf>
    <xf numFmtId="13" fontId="31" fillId="0" borderId="47" xfId="34" applyNumberFormat="1" applyFont="1" applyBorder="1" applyAlignment="1">
      <alignment horizontal="center" vertical="center"/>
    </xf>
    <xf numFmtId="0" fontId="31" fillId="0" borderId="33" xfId="34" applyFont="1" applyBorder="1" applyAlignment="1">
      <alignment horizontal="center" vertical="center"/>
    </xf>
    <xf numFmtId="12" fontId="31" fillId="0" borderId="51" xfId="34" applyNumberFormat="1" applyFont="1" applyBorder="1" applyAlignment="1">
      <alignment horizontal="center" vertical="center"/>
    </xf>
    <xf numFmtId="12" fontId="31" fillId="0" borderId="33" xfId="34" applyNumberFormat="1" applyFont="1" applyBorder="1" applyAlignment="1">
      <alignment horizontal="center" vertical="center"/>
    </xf>
    <xf numFmtId="12" fontId="31" fillId="0" borderId="43" xfId="34" applyNumberFormat="1" applyFont="1" applyBorder="1" applyAlignment="1">
      <alignment horizontal="center" vertical="center"/>
    </xf>
    <xf numFmtId="0" fontId="31" fillId="0" borderId="31" xfId="34" applyFont="1" applyBorder="1" applyAlignment="1">
      <alignment horizontal="center" vertical="center"/>
    </xf>
    <xf numFmtId="12" fontId="31" fillId="0" borderId="53" xfId="34" applyNumberFormat="1" applyFont="1" applyBorder="1" applyAlignment="1">
      <alignment horizontal="center" vertical="center"/>
    </xf>
    <xf numFmtId="12" fontId="31" fillId="0" borderId="31" xfId="34" applyNumberFormat="1" applyFont="1" applyBorder="1" applyAlignment="1">
      <alignment horizontal="center" vertical="center"/>
    </xf>
    <xf numFmtId="12" fontId="31" fillId="0" borderId="44" xfId="34" applyNumberFormat="1" applyFont="1" applyBorder="1" applyAlignment="1">
      <alignment horizontal="center" vertical="center"/>
    </xf>
    <xf numFmtId="13" fontId="31" fillId="13" borderId="55" xfId="34" applyNumberFormat="1" applyFont="1" applyFill="1" applyBorder="1" applyAlignment="1">
      <alignment horizontal="center" vertical="center"/>
    </xf>
    <xf numFmtId="13" fontId="31" fillId="13" borderId="46" xfId="34" applyNumberFormat="1" applyFont="1" applyFill="1" applyBorder="1" applyAlignment="1">
      <alignment horizontal="center" vertical="center"/>
    </xf>
    <xf numFmtId="0" fontId="30" fillId="0" borderId="38" xfId="34" applyBorder="1" applyAlignment="1">
      <alignment horizontal="center"/>
    </xf>
    <xf numFmtId="0" fontId="30" fillId="0" borderId="41" xfId="34" applyBorder="1" applyAlignment="1">
      <alignment horizontal="center"/>
    </xf>
    <xf numFmtId="0" fontId="31" fillId="0" borderId="0" xfId="34" applyFont="1" applyAlignment="1">
      <alignment horizontal="left" vertical="center"/>
    </xf>
    <xf numFmtId="0" fontId="30" fillId="0" borderId="0" xfId="34" applyAlignment="1">
      <alignment horizontal="right"/>
    </xf>
    <xf numFmtId="0" fontId="27" fillId="0" borderId="0" xfId="34" applyFont="1" applyAlignment="1">
      <alignment horizontal="left"/>
    </xf>
    <xf numFmtId="17" fontId="30" fillId="0" borderId="0" xfId="34" quotePrefix="1" applyNumberFormat="1" applyAlignment="1">
      <alignment horizontal="center"/>
    </xf>
    <xf numFmtId="14" fontId="30" fillId="0" borderId="0" xfId="34" applyNumberFormat="1" applyAlignment="1">
      <alignment horizontal="center"/>
    </xf>
    <xf numFmtId="0" fontId="30" fillId="0" borderId="0" xfId="34" applyAlignment="1">
      <alignment horizontal="left"/>
    </xf>
    <xf numFmtId="13" fontId="27" fillId="0" borderId="29" xfId="34" applyNumberFormat="1" applyFont="1" applyBorder="1" applyAlignment="1">
      <alignment horizontal="center" vertical="center"/>
    </xf>
    <xf numFmtId="13" fontId="31" fillId="13" borderId="33" xfId="34" applyNumberFormat="1" applyFont="1" applyFill="1" applyBorder="1" applyAlignment="1">
      <alignment horizontal="center" vertical="center"/>
    </xf>
    <xf numFmtId="13" fontId="31" fillId="13" borderId="51" xfId="34" applyNumberFormat="1" applyFont="1" applyFill="1" applyBorder="1" applyAlignment="1">
      <alignment horizontal="center" vertical="center"/>
    </xf>
    <xf numFmtId="13" fontId="31" fillId="13" borderId="53" xfId="34" applyNumberFormat="1" applyFont="1" applyFill="1" applyBorder="1" applyAlignment="1">
      <alignment horizontal="center" vertical="center"/>
    </xf>
    <xf numFmtId="13" fontId="31" fillId="13" borderId="0" xfId="34" applyNumberFormat="1" applyFont="1" applyFill="1" applyAlignment="1">
      <alignment horizontal="center" vertical="center"/>
    </xf>
    <xf numFmtId="13" fontId="31" fillId="13" borderId="30" xfId="34" applyNumberFormat="1" applyFont="1" applyFill="1" applyBorder="1" applyAlignment="1">
      <alignment horizontal="center" vertical="center"/>
    </xf>
    <xf numFmtId="13" fontId="31" fillId="13" borderId="39" xfId="34" applyNumberFormat="1" applyFont="1" applyFill="1" applyBorder="1" applyAlignment="1">
      <alignment horizontal="center" vertical="center"/>
    </xf>
    <xf numFmtId="0" fontId="30" fillId="13" borderId="59" xfId="34" applyFill="1" applyBorder="1" applyAlignment="1">
      <alignment horizontal="center"/>
    </xf>
    <xf numFmtId="13" fontId="33" fillId="0" borderId="63" xfId="34" applyNumberFormat="1" applyFont="1" applyBorder="1" applyAlignment="1">
      <alignment horizontal="center" vertical="center"/>
    </xf>
    <xf numFmtId="17" fontId="30" fillId="0" borderId="0" xfId="34" applyNumberFormat="1" applyAlignment="1">
      <alignment horizontal="center"/>
    </xf>
    <xf numFmtId="0" fontId="20" fillId="0" borderId="0" xfId="0" applyFont="1" applyAlignment="1">
      <alignment horizontal="center" vertical="center" textRotation="90"/>
    </xf>
    <xf numFmtId="165" fontId="42" fillId="0" borderId="0" xfId="33" applyFont="1" applyAlignment="1">
      <alignment vertical="center"/>
    </xf>
    <xf numFmtId="171" fontId="48" fillId="0" borderId="0" xfId="31" applyNumberFormat="1" applyFont="1" applyAlignment="1">
      <alignment vertical="center"/>
    </xf>
    <xf numFmtId="165" fontId="48" fillId="0" borderId="0" xfId="33" applyFont="1" applyAlignment="1">
      <alignment vertical="center"/>
    </xf>
    <xf numFmtId="173" fontId="48" fillId="0" borderId="0" xfId="30" applyNumberFormat="1" applyFont="1" applyAlignment="1">
      <alignment vertical="center"/>
    </xf>
    <xf numFmtId="0" fontId="48" fillId="0" borderId="0" xfId="31" applyFont="1" applyAlignment="1">
      <alignment vertical="center"/>
    </xf>
    <xf numFmtId="174" fontId="48" fillId="0" borderId="0" xfId="33" applyNumberFormat="1" applyFont="1" applyFill="1" applyAlignment="1">
      <alignment vertical="center"/>
    </xf>
    <xf numFmtId="165" fontId="48" fillId="0" borderId="0" xfId="33" applyFont="1" applyFill="1" applyAlignment="1">
      <alignment vertical="center"/>
    </xf>
    <xf numFmtId="166" fontId="22" fillId="0" borderId="0" xfId="0" applyNumberFormat="1" applyFont="1"/>
    <xf numFmtId="0" fontId="30" fillId="0" borderId="0" xfId="34" quotePrefix="1" applyAlignment="1">
      <alignment horizontal="center"/>
    </xf>
    <xf numFmtId="166" fontId="25" fillId="0" borderId="0" xfId="0" applyNumberFormat="1" applyFont="1"/>
    <xf numFmtId="7" fontId="24" fillId="0" borderId="24" xfId="0" applyNumberFormat="1" applyFont="1" applyBorder="1" applyAlignment="1">
      <alignment horizontal="center" vertical="center"/>
    </xf>
    <xf numFmtId="7" fontId="24" fillId="0" borderId="25" xfId="0" applyNumberFormat="1" applyFont="1" applyBorder="1" applyAlignment="1">
      <alignment horizontal="center" vertical="center"/>
    </xf>
    <xf numFmtId="7" fontId="24" fillId="0" borderId="26" xfId="0" applyNumberFormat="1" applyFont="1" applyBorder="1" applyAlignment="1">
      <alignment horizontal="center" vertical="center"/>
    </xf>
    <xf numFmtId="7" fontId="24" fillId="0" borderId="20" xfId="0" applyNumberFormat="1" applyFont="1" applyBorder="1" applyAlignment="1">
      <alignment horizontal="center" vertical="center"/>
    </xf>
    <xf numFmtId="7" fontId="24" fillId="0" borderId="22" xfId="0" applyNumberFormat="1" applyFont="1" applyBorder="1" applyAlignment="1">
      <alignment horizontal="center" vertical="center"/>
    </xf>
    <xf numFmtId="9" fontId="24" fillId="0" borderId="25" xfId="30" applyFont="1" applyFill="1" applyBorder="1" applyAlignment="1" applyProtection="1">
      <alignment horizontal="center" vertical="center"/>
    </xf>
    <xf numFmtId="0" fontId="49" fillId="0" borderId="0" xfId="0" applyFont="1" applyAlignment="1">
      <alignment vertical="center"/>
    </xf>
    <xf numFmtId="176" fontId="25" fillId="0" borderId="0" xfId="0" applyNumberFormat="1" applyFont="1" applyAlignment="1">
      <alignment horizontal="left"/>
    </xf>
    <xf numFmtId="176" fontId="22" fillId="0" borderId="0" xfId="0" applyNumberFormat="1" applyFont="1" applyAlignment="1">
      <alignment horizontal="left"/>
    </xf>
    <xf numFmtId="171" fontId="25" fillId="0" borderId="0" xfId="0" applyNumberFormat="1" applyFont="1" applyAlignment="1">
      <alignment horizontal="left"/>
    </xf>
    <xf numFmtId="165" fontId="22" fillId="0" borderId="0" xfId="0" applyNumberFormat="1" applyFont="1" applyAlignment="1">
      <alignment horizontal="left"/>
    </xf>
    <xf numFmtId="0" fontId="52" fillId="0" borderId="0" xfId="34" applyFont="1" applyAlignment="1">
      <alignment horizontal="left"/>
    </xf>
    <xf numFmtId="0" fontId="20" fillId="0" borderId="0" xfId="34" applyFont="1" applyAlignment="1">
      <alignment horizontal="center"/>
    </xf>
    <xf numFmtId="13" fontId="20" fillId="0" borderId="37" xfId="34" applyNumberFormat="1" applyFont="1" applyBorder="1" applyAlignment="1">
      <alignment horizontal="center" vertical="center"/>
    </xf>
    <xf numFmtId="13" fontId="47" fillId="0" borderId="50" xfId="34" applyNumberFormat="1" applyFont="1" applyBorder="1" applyAlignment="1">
      <alignment horizontal="center" vertical="center"/>
    </xf>
    <xf numFmtId="13" fontId="47" fillId="0" borderId="33" xfId="34" applyNumberFormat="1" applyFont="1" applyBorder="1" applyAlignment="1">
      <alignment horizontal="center" vertical="center"/>
    </xf>
    <xf numFmtId="13" fontId="47" fillId="0" borderId="51" xfId="34" applyNumberFormat="1" applyFont="1" applyBorder="1" applyAlignment="1">
      <alignment horizontal="center" vertical="center"/>
    </xf>
    <xf numFmtId="13" fontId="47" fillId="0" borderId="43" xfId="34" applyNumberFormat="1" applyFont="1" applyBorder="1" applyAlignment="1">
      <alignment horizontal="center" vertical="center"/>
    </xf>
    <xf numFmtId="13" fontId="47" fillId="13" borderId="52" xfId="34" applyNumberFormat="1" applyFont="1" applyFill="1" applyBorder="1" applyAlignment="1">
      <alignment horizontal="center" vertical="center"/>
    </xf>
    <xf numFmtId="13" fontId="47" fillId="13" borderId="31" xfId="34" applyNumberFormat="1" applyFont="1" applyFill="1" applyBorder="1" applyAlignment="1">
      <alignment horizontal="center" vertical="center"/>
    </xf>
    <xf numFmtId="13" fontId="47" fillId="0" borderId="53" xfId="34" applyNumberFormat="1" applyFont="1" applyBorder="1" applyAlignment="1">
      <alignment horizontal="center" vertical="center"/>
    </xf>
    <xf numFmtId="13" fontId="47" fillId="0" borderId="31" xfId="34" applyNumberFormat="1" applyFont="1" applyBorder="1" applyAlignment="1">
      <alignment horizontal="center" vertical="center"/>
    </xf>
    <xf numFmtId="13" fontId="47" fillId="0" borderId="44" xfId="34" applyNumberFormat="1" applyFont="1" applyBorder="1" applyAlignment="1">
      <alignment horizontal="center" vertical="center"/>
    </xf>
    <xf numFmtId="13" fontId="47" fillId="13" borderId="54" xfId="34" applyNumberFormat="1" applyFont="1" applyFill="1" applyBorder="1" applyAlignment="1">
      <alignment horizontal="center" vertical="center"/>
    </xf>
    <xf numFmtId="13" fontId="47" fillId="13" borderId="32" xfId="34" applyNumberFormat="1" applyFont="1" applyFill="1" applyBorder="1" applyAlignment="1">
      <alignment horizontal="center" vertical="center"/>
    </xf>
    <xf numFmtId="13" fontId="47" fillId="0" borderId="55" xfId="34" applyNumberFormat="1" applyFont="1" applyBorder="1" applyAlignment="1">
      <alignment horizontal="center" vertical="center"/>
    </xf>
    <xf numFmtId="13" fontId="47" fillId="0" borderId="32" xfId="34" applyNumberFormat="1" applyFont="1" applyBorder="1" applyAlignment="1">
      <alignment horizontal="center" vertical="center"/>
    </xf>
    <xf numFmtId="13" fontId="47" fillId="0" borderId="46" xfId="34" applyNumberFormat="1" applyFont="1" applyBorder="1" applyAlignment="1">
      <alignment horizontal="center" vertical="center"/>
    </xf>
    <xf numFmtId="13" fontId="47" fillId="13" borderId="53" xfId="34" applyNumberFormat="1" applyFont="1" applyFill="1" applyBorder="1" applyAlignment="1">
      <alignment horizontal="center" vertical="center"/>
    </xf>
    <xf numFmtId="13" fontId="47" fillId="13" borderId="44" xfId="34" applyNumberFormat="1" applyFont="1" applyFill="1" applyBorder="1" applyAlignment="1">
      <alignment horizontal="center" vertical="center"/>
    </xf>
    <xf numFmtId="13" fontId="47" fillId="13" borderId="55" xfId="34" applyNumberFormat="1" applyFont="1" applyFill="1" applyBorder="1" applyAlignment="1">
      <alignment horizontal="center" vertical="center"/>
    </xf>
    <xf numFmtId="13" fontId="47" fillId="13" borderId="46" xfId="34" applyNumberFormat="1" applyFont="1" applyFill="1" applyBorder="1" applyAlignment="1">
      <alignment horizontal="center" vertical="center"/>
    </xf>
    <xf numFmtId="13" fontId="47" fillId="0" borderId="40" xfId="34" applyNumberFormat="1" applyFont="1" applyBorder="1" applyAlignment="1">
      <alignment horizontal="center" vertical="center"/>
    </xf>
    <xf numFmtId="13" fontId="47" fillId="0" borderId="35" xfId="34" applyNumberFormat="1" applyFont="1" applyBorder="1" applyAlignment="1">
      <alignment horizontal="center" vertical="center"/>
    </xf>
    <xf numFmtId="13" fontId="47" fillId="0" borderId="0" xfId="34" applyNumberFormat="1" applyFont="1" applyAlignment="1">
      <alignment horizontal="center" vertical="center"/>
    </xf>
    <xf numFmtId="13" fontId="47" fillId="0" borderId="34" xfId="34" applyNumberFormat="1" applyFont="1" applyBorder="1" applyAlignment="1">
      <alignment horizontal="center" vertical="center"/>
    </xf>
    <xf numFmtId="13" fontId="47" fillId="0" borderId="52" xfId="34" applyNumberFormat="1" applyFont="1" applyBorder="1" applyAlignment="1">
      <alignment horizontal="center" vertical="center"/>
    </xf>
    <xf numFmtId="13" fontId="47" fillId="13" borderId="40" xfId="34" applyNumberFormat="1" applyFont="1" applyFill="1" applyBorder="1" applyAlignment="1">
      <alignment horizontal="center" vertical="center"/>
    </xf>
    <xf numFmtId="13" fontId="47" fillId="13" borderId="35" xfId="34" applyNumberFormat="1" applyFont="1" applyFill="1" applyBorder="1" applyAlignment="1">
      <alignment horizontal="center" vertical="center"/>
    </xf>
    <xf numFmtId="13" fontId="47" fillId="0" borderId="38" xfId="34" applyNumberFormat="1" applyFont="1" applyBorder="1" applyAlignment="1">
      <alignment horizontal="center" vertical="center"/>
    </xf>
    <xf numFmtId="13" fontId="47" fillId="0" borderId="30" xfId="34" applyNumberFormat="1" applyFont="1" applyBorder="1" applyAlignment="1">
      <alignment horizontal="center" vertical="center"/>
    </xf>
    <xf numFmtId="13" fontId="47" fillId="0" borderId="39" xfId="34" applyNumberFormat="1" applyFont="1" applyBorder="1" applyAlignment="1">
      <alignment horizontal="center" vertical="center"/>
    </xf>
    <xf numFmtId="13" fontId="47" fillId="0" borderId="47" xfId="34" applyNumberFormat="1" applyFont="1" applyBorder="1" applyAlignment="1">
      <alignment horizontal="center" vertical="center"/>
    </xf>
    <xf numFmtId="175" fontId="47" fillId="0" borderId="32" xfId="34" applyNumberFormat="1" applyFont="1" applyBorder="1" applyAlignment="1">
      <alignment horizontal="center" vertical="center"/>
    </xf>
    <xf numFmtId="0" fontId="47" fillId="0" borderId="50" xfId="34" applyFont="1" applyBorder="1" applyAlignment="1">
      <alignment horizontal="center" vertical="center"/>
    </xf>
    <xf numFmtId="0" fontId="47" fillId="0" borderId="33" xfId="34" applyFont="1" applyBorder="1" applyAlignment="1">
      <alignment horizontal="center" vertical="center"/>
    </xf>
    <xf numFmtId="12" fontId="47" fillId="0" borderId="51" xfId="34" applyNumberFormat="1" applyFont="1" applyBorder="1" applyAlignment="1">
      <alignment horizontal="center" vertical="center"/>
    </xf>
    <xf numFmtId="0" fontId="47" fillId="0" borderId="51" xfId="34" applyFont="1" applyBorder="1" applyAlignment="1">
      <alignment horizontal="center" vertical="center"/>
    </xf>
    <xf numFmtId="12" fontId="47" fillId="0" borderId="33" xfId="34" applyNumberFormat="1" applyFont="1" applyBorder="1" applyAlignment="1">
      <alignment horizontal="center" vertical="center"/>
    </xf>
    <xf numFmtId="12" fontId="47" fillId="0" borderId="43" xfId="34" applyNumberFormat="1" applyFont="1" applyBorder="1" applyAlignment="1">
      <alignment horizontal="center" vertical="center"/>
    </xf>
    <xf numFmtId="0" fontId="47" fillId="0" borderId="52" xfId="34" applyFont="1" applyBorder="1" applyAlignment="1">
      <alignment horizontal="center" vertical="center"/>
    </xf>
    <xf numFmtId="0" fontId="47" fillId="0" borderId="31" xfId="34" applyFont="1" applyBorder="1" applyAlignment="1">
      <alignment horizontal="center" vertical="center"/>
    </xf>
    <xf numFmtId="12" fontId="47" fillId="0" borderId="53" xfId="34" applyNumberFormat="1" applyFont="1" applyBorder="1" applyAlignment="1">
      <alignment horizontal="center" vertical="center"/>
    </xf>
    <xf numFmtId="0" fontId="47" fillId="0" borderId="53" xfId="34" applyFont="1" applyBorder="1" applyAlignment="1">
      <alignment horizontal="center" vertical="center"/>
    </xf>
    <xf numFmtId="12" fontId="47" fillId="0" borderId="31" xfId="34" applyNumberFormat="1" applyFont="1" applyBorder="1" applyAlignment="1">
      <alignment horizontal="center" vertical="center"/>
    </xf>
    <xf numFmtId="12" fontId="47" fillId="0" borderId="44" xfId="34" applyNumberFormat="1" applyFont="1" applyBorder="1" applyAlignment="1">
      <alignment horizontal="center" vertical="center"/>
    </xf>
    <xf numFmtId="13" fontId="47" fillId="0" borderId="57" xfId="34" applyNumberFormat="1" applyFont="1" applyBorder="1" applyAlignment="1">
      <alignment horizontal="center" vertical="center"/>
    </xf>
    <xf numFmtId="13" fontId="47" fillId="0" borderId="36" xfId="34" applyNumberFormat="1" applyFont="1" applyBorder="1" applyAlignment="1">
      <alignment horizontal="center" vertical="center"/>
    </xf>
    <xf numFmtId="13" fontId="47" fillId="0" borderId="5" xfId="34" applyNumberFormat="1" applyFont="1" applyBorder="1" applyAlignment="1">
      <alignment horizontal="center" vertical="center"/>
    </xf>
    <xf numFmtId="13" fontId="47" fillId="0" borderId="45" xfId="34" applyNumberFormat="1" applyFont="1" applyBorder="1" applyAlignment="1">
      <alignment horizontal="center" vertical="center"/>
    </xf>
    <xf numFmtId="0" fontId="47" fillId="0" borderId="38" xfId="34" applyFont="1" applyBorder="1" applyAlignment="1">
      <alignment horizontal="center"/>
    </xf>
    <xf numFmtId="0" fontId="47" fillId="13" borderId="58" xfId="34" applyFont="1" applyFill="1" applyBorder="1" applyAlignment="1">
      <alignment horizontal="center"/>
    </xf>
    <xf numFmtId="0" fontId="47" fillId="0" borderId="41" xfId="34" applyFont="1" applyBorder="1" applyAlignment="1">
      <alignment horizontal="center"/>
    </xf>
    <xf numFmtId="13" fontId="47" fillId="0" borderId="60" xfId="34" applyNumberFormat="1" applyFont="1" applyBorder="1" applyAlignment="1">
      <alignment horizontal="center" vertical="center"/>
    </xf>
    <xf numFmtId="166" fontId="43" fillId="0" borderId="30" xfId="31" applyNumberFormat="1" applyFont="1" applyBorder="1" applyAlignment="1">
      <alignment horizontal="center" vertical="center"/>
    </xf>
    <xf numFmtId="166" fontId="43" fillId="0" borderId="35" xfId="31" applyNumberFormat="1" applyFont="1" applyBorder="1" applyAlignment="1">
      <alignment horizontal="center" vertical="center"/>
    </xf>
    <xf numFmtId="0" fontId="42" fillId="0" borderId="56" xfId="31" applyFont="1" applyBorder="1" applyAlignment="1">
      <alignment vertical="center"/>
    </xf>
    <xf numFmtId="166" fontId="33" fillId="0" borderId="30" xfId="0" applyNumberFormat="1" applyFont="1" applyBorder="1" applyAlignment="1">
      <alignment horizontal="center" vertical="center"/>
    </xf>
    <xf numFmtId="166" fontId="33" fillId="0" borderId="35" xfId="0" applyNumberFormat="1" applyFont="1" applyBorder="1" applyAlignment="1">
      <alignment horizontal="center" vertical="center"/>
    </xf>
    <xf numFmtId="0" fontId="41" fillId="0" borderId="24" xfId="31" applyFont="1" applyBorder="1" applyAlignment="1">
      <alignment horizontal="center" vertical="center"/>
    </xf>
    <xf numFmtId="0" fontId="43" fillId="0" borderId="30" xfId="31" applyFont="1" applyBorder="1" applyAlignment="1">
      <alignment vertical="center"/>
    </xf>
    <xf numFmtId="0" fontId="43" fillId="0" borderId="35" xfId="31" applyFont="1" applyBorder="1" applyAlignment="1">
      <alignment vertical="center"/>
    </xf>
    <xf numFmtId="173" fontId="43" fillId="0" borderId="35" xfId="31" applyNumberFormat="1" applyFont="1" applyBorder="1" applyAlignment="1">
      <alignment vertical="center"/>
    </xf>
    <xf numFmtId="173" fontId="53" fillId="0" borderId="35" xfId="31" applyNumberFormat="1" applyFont="1" applyBorder="1" applyAlignment="1">
      <alignment vertical="center"/>
    </xf>
    <xf numFmtId="174" fontId="43" fillId="0" borderId="35" xfId="31" applyNumberFormat="1" applyFont="1" applyBorder="1" applyAlignment="1">
      <alignment vertical="center"/>
    </xf>
    <xf numFmtId="174" fontId="53" fillId="0" borderId="35" xfId="31" applyNumberFormat="1" applyFont="1" applyBorder="1" applyAlignment="1">
      <alignment vertical="center"/>
    </xf>
    <xf numFmtId="174" fontId="43" fillId="0" borderId="35" xfId="31" applyNumberFormat="1" applyFont="1" applyBorder="1" applyAlignment="1">
      <alignment vertical="center" wrapText="1"/>
    </xf>
    <xf numFmtId="0" fontId="43" fillId="0" borderId="56" xfId="31" applyFont="1" applyBorder="1" applyAlignment="1">
      <alignment vertical="center"/>
    </xf>
    <xf numFmtId="2" fontId="22" fillId="0" borderId="0" xfId="0" applyNumberFormat="1" applyFont="1"/>
    <xf numFmtId="7" fontId="24" fillId="0" borderId="23" xfId="0" applyNumberFormat="1" applyFont="1" applyBorder="1" applyAlignment="1">
      <alignment horizontal="center" vertical="center"/>
    </xf>
    <xf numFmtId="2" fontId="22" fillId="0" borderId="0" xfId="0" applyNumberFormat="1" applyFont="1" applyAlignment="1">
      <alignment horizontal="right"/>
    </xf>
    <xf numFmtId="0" fontId="34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39" fillId="11" borderId="0" xfId="0" applyFont="1" applyFill="1" applyAlignment="1">
      <alignment horizontal="center" vertical="center" wrapText="1"/>
    </xf>
    <xf numFmtId="49" fontId="26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 textRotation="90"/>
    </xf>
    <xf numFmtId="15" fontId="51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4" fillId="0" borderId="21" xfId="0" applyFont="1" applyBorder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7" fontId="24" fillId="0" borderId="0" xfId="0" applyNumberFormat="1" applyFont="1" applyAlignment="1">
      <alignment horizontal="left" vertical="center"/>
    </xf>
    <xf numFmtId="7" fontId="24" fillId="0" borderId="22" xfId="0" applyNumberFormat="1" applyFont="1" applyBorder="1" applyAlignment="1">
      <alignment horizontal="left" vertical="center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4" fillId="0" borderId="16" xfId="0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0" fontId="24" fillId="0" borderId="17" xfId="0" applyFont="1" applyBorder="1" applyAlignment="1">
      <alignment horizontal="left" vertical="center"/>
    </xf>
    <xf numFmtId="0" fontId="24" fillId="0" borderId="21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16" xfId="0" applyFont="1" applyBorder="1" applyAlignment="1">
      <alignment horizontal="right" vertical="center" wrapText="1"/>
    </xf>
    <xf numFmtId="0" fontId="24" fillId="0" borderId="17" xfId="0" applyFont="1" applyBorder="1" applyAlignment="1">
      <alignment horizontal="right" vertical="center" wrapText="1"/>
    </xf>
    <xf numFmtId="7" fontId="24" fillId="0" borderId="17" xfId="0" applyNumberFormat="1" applyFont="1" applyBorder="1" applyAlignment="1">
      <alignment horizontal="left" vertical="center"/>
    </xf>
    <xf numFmtId="7" fontId="24" fillId="0" borderId="20" xfId="0" applyNumberFormat="1" applyFont="1" applyBorder="1" applyAlignment="1">
      <alignment horizontal="left" vertical="center"/>
    </xf>
    <xf numFmtId="0" fontId="26" fillId="0" borderId="0" xfId="0" applyFont="1" applyAlignment="1" applyProtection="1">
      <alignment horizontal="center" vertical="center"/>
      <protection locked="0"/>
    </xf>
    <xf numFmtId="15" fontId="50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0" fontId="25" fillId="0" borderId="19" xfId="0" applyFont="1" applyBorder="1" applyAlignment="1">
      <alignment horizontal="center" vertical="center"/>
    </xf>
    <xf numFmtId="0" fontId="24" fillId="0" borderId="18" xfId="0" applyFont="1" applyBorder="1" applyAlignment="1">
      <alignment horizontal="right" vertical="center"/>
    </xf>
    <xf numFmtId="0" fontId="24" fillId="0" borderId="19" xfId="0" applyFont="1" applyBorder="1" applyAlignment="1">
      <alignment horizontal="right" vertical="center"/>
    </xf>
    <xf numFmtId="0" fontId="24" fillId="0" borderId="19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textRotation="90" wrapText="1"/>
    </xf>
    <xf numFmtId="44" fontId="41" fillId="10" borderId="48" xfId="32" applyFont="1" applyFill="1" applyBorder="1" applyAlignment="1">
      <alignment horizontal="center" vertical="center" wrapText="1"/>
    </xf>
    <xf numFmtId="44" fontId="41" fillId="10" borderId="66" xfId="32" applyFont="1" applyFill="1" applyBorder="1" applyAlignment="1">
      <alignment horizontal="center" vertical="center"/>
    </xf>
    <xf numFmtId="44" fontId="41" fillId="10" borderId="49" xfId="32" applyFont="1" applyFill="1" applyBorder="1" applyAlignment="1">
      <alignment horizontal="center" vertical="center" wrapText="1"/>
    </xf>
    <xf numFmtId="44" fontId="41" fillId="10" borderId="65" xfId="32" applyFont="1" applyFill="1" applyBorder="1" applyAlignment="1">
      <alignment horizontal="center" vertical="center"/>
    </xf>
    <xf numFmtId="14" fontId="30" fillId="0" borderId="0" xfId="34" applyNumberFormat="1" applyAlignment="1">
      <alignment horizontal="center"/>
    </xf>
    <xf numFmtId="0" fontId="30" fillId="0" borderId="0" xfId="34" applyAlignment="1">
      <alignment horizontal="center"/>
    </xf>
    <xf numFmtId="0" fontId="30" fillId="0" borderId="0" xfId="34" applyAlignment="1">
      <alignment horizontal="left" wrapText="1"/>
    </xf>
    <xf numFmtId="0" fontId="30" fillId="0" borderId="0" xfId="34"/>
    <xf numFmtId="0" fontId="47" fillId="0" borderId="59" xfId="34" applyFont="1" applyBorder="1" applyAlignment="1">
      <alignment horizontal="left" vertical="center" wrapText="1"/>
    </xf>
    <xf numFmtId="0" fontId="47" fillId="0" borderId="51" xfId="34" applyFont="1" applyBorder="1" applyAlignment="1">
      <alignment vertical="center" wrapText="1"/>
    </xf>
    <xf numFmtId="0" fontId="47" fillId="0" borderId="43" xfId="34" applyFont="1" applyBorder="1" applyAlignment="1">
      <alignment vertical="center" wrapText="1"/>
    </xf>
    <xf numFmtId="0" fontId="47" fillId="0" borderId="61" xfId="34" applyFont="1" applyBorder="1" applyAlignment="1">
      <alignment horizontal="left" vertical="center" wrapText="1"/>
    </xf>
    <xf numFmtId="0" fontId="47" fillId="0" borderId="42" xfId="34" applyFont="1" applyBorder="1" applyAlignment="1">
      <alignment vertical="center" wrapText="1"/>
    </xf>
    <xf numFmtId="0" fontId="47" fillId="0" borderId="62" xfId="34" applyFont="1" applyBorder="1" applyAlignment="1">
      <alignment vertical="center" wrapText="1"/>
    </xf>
    <xf numFmtId="0" fontId="20" fillId="0" borderId="37" xfId="34" applyFont="1" applyBorder="1" applyAlignment="1">
      <alignment horizontal="center" vertical="center"/>
    </xf>
    <xf numFmtId="0" fontId="44" fillId="0" borderId="0" xfId="34" applyFont="1" applyAlignment="1">
      <alignment horizontal="center" vertical="top"/>
    </xf>
    <xf numFmtId="0" fontId="45" fillId="12" borderId="0" xfId="34" applyFont="1" applyFill="1" applyAlignment="1">
      <alignment horizontal="center" vertical="center"/>
    </xf>
    <xf numFmtId="0" fontId="20" fillId="0" borderId="30" xfId="34" applyFont="1" applyBorder="1" applyAlignment="1">
      <alignment horizontal="center" vertical="center" wrapText="1"/>
    </xf>
    <xf numFmtId="0" fontId="20" fillId="0" borderId="35" xfId="34" applyFont="1" applyBorder="1" applyAlignment="1">
      <alignment horizontal="center" vertical="center" wrapText="1"/>
    </xf>
    <xf numFmtId="0" fontId="20" fillId="0" borderId="56" xfId="34" applyFont="1" applyBorder="1" applyAlignment="1">
      <alignment horizontal="center" vertical="center" wrapText="1"/>
    </xf>
    <xf numFmtId="0" fontId="20" fillId="0" borderId="30" xfId="34" applyFont="1" applyBorder="1" applyAlignment="1">
      <alignment horizontal="center" vertical="center"/>
    </xf>
    <xf numFmtId="0" fontId="20" fillId="0" borderId="35" xfId="34" applyFont="1" applyBorder="1" applyAlignment="1">
      <alignment horizontal="center" vertical="center"/>
    </xf>
    <xf numFmtId="0" fontId="20" fillId="0" borderId="56" xfId="34" applyFont="1" applyBorder="1" applyAlignment="1">
      <alignment horizontal="center" vertical="center"/>
    </xf>
    <xf numFmtId="0" fontId="31" fillId="0" borderId="50" xfId="34" applyFont="1" applyBorder="1" applyAlignment="1">
      <alignment horizontal="left" vertical="center" wrapText="1"/>
    </xf>
    <xf numFmtId="0" fontId="31" fillId="0" borderId="51" xfId="34" applyFont="1" applyBorder="1" applyAlignment="1">
      <alignment horizontal="left" vertical="center" wrapText="1"/>
    </xf>
    <xf numFmtId="0" fontId="31" fillId="0" borderId="43" xfId="34" applyFont="1" applyBorder="1" applyAlignment="1">
      <alignment horizontal="left" vertical="center" wrapText="1"/>
    </xf>
    <xf numFmtId="0" fontId="31" fillId="0" borderId="54" xfId="34" applyFont="1" applyBorder="1" applyAlignment="1">
      <alignment horizontal="left" vertical="center" wrapText="1"/>
    </xf>
    <xf numFmtId="0" fontId="31" fillId="0" borderId="55" xfId="34" applyFont="1" applyBorder="1" applyAlignment="1">
      <alignment horizontal="left" vertical="center" wrapText="1"/>
    </xf>
    <xf numFmtId="0" fontId="31" fillId="0" borderId="46" xfId="34" applyFont="1" applyBorder="1" applyAlignment="1">
      <alignment horizontal="left" vertical="center" wrapText="1"/>
    </xf>
    <xf numFmtId="0" fontId="27" fillId="0" borderId="37" xfId="34" applyFont="1" applyBorder="1" applyAlignment="1">
      <alignment horizontal="center" vertical="center"/>
    </xf>
    <xf numFmtId="0" fontId="44" fillId="0" borderId="0" xfId="34" applyFont="1" applyAlignment="1">
      <alignment horizontal="left" vertical="center"/>
    </xf>
    <xf numFmtId="0" fontId="47" fillId="0" borderId="0" xfId="34" applyFont="1" applyAlignment="1">
      <alignment horizontal="left" vertical="center"/>
    </xf>
    <xf numFmtId="0" fontId="45" fillId="14" borderId="0" xfId="34" applyFont="1" applyFill="1" applyAlignment="1">
      <alignment horizontal="center" wrapText="1"/>
    </xf>
    <xf numFmtId="0" fontId="45" fillId="14" borderId="0" xfId="34" applyFont="1" applyFill="1" applyAlignment="1">
      <alignment horizontal="center"/>
    </xf>
    <xf numFmtId="0" fontId="27" fillId="0" borderId="30" xfId="34" applyFont="1" applyBorder="1" applyAlignment="1">
      <alignment horizontal="center" vertical="center" wrapText="1"/>
    </xf>
    <xf numFmtId="0" fontId="27" fillId="0" borderId="35" xfId="34" applyFont="1" applyBorder="1" applyAlignment="1">
      <alignment horizontal="center" vertical="center" wrapText="1"/>
    </xf>
    <xf numFmtId="0" fontId="27" fillId="0" borderId="56" xfId="34" applyFont="1" applyBorder="1" applyAlignment="1">
      <alignment horizontal="center" vertical="center" wrapText="1"/>
    </xf>
    <xf numFmtId="0" fontId="27" fillId="0" borderId="30" xfId="34" applyFont="1" applyBorder="1" applyAlignment="1">
      <alignment horizontal="center" vertical="center"/>
    </xf>
    <xf numFmtId="0" fontId="27" fillId="0" borderId="35" xfId="34" applyFont="1" applyBorder="1" applyAlignment="1">
      <alignment horizontal="center" vertical="center"/>
    </xf>
    <xf numFmtId="0" fontId="27" fillId="0" borderId="56" xfId="34" applyFont="1" applyBorder="1" applyAlignment="1">
      <alignment horizontal="center" vertical="center"/>
    </xf>
  </cellXfs>
  <cellStyles count="35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chiffre" xfId="7" xr:uid="{00000000-0005-0000-0000-000006000000}"/>
    <cellStyle name="Comma" xfId="33" builtinId="3"/>
    <cellStyle name="Comma 2" xfId="8" xr:uid="{00000000-0005-0000-0000-000007000000}"/>
    <cellStyle name="Currency 2" xfId="9" xr:uid="{00000000-0005-0000-0000-000008000000}"/>
    <cellStyle name="Currency 3" xfId="32" xr:uid="{04FBE9A4-133E-4646-A813-A0B3CDB1BD60}"/>
    <cellStyle name="Donnée gauche" xfId="10" xr:uid="{00000000-0005-0000-0000-000009000000}"/>
    <cellStyle name="Egress" xfId="11" xr:uid="{00000000-0005-0000-0000-00000A000000}"/>
    <cellStyle name="encadre" xfId="12" xr:uid="{00000000-0005-0000-0000-00000B000000}"/>
    <cellStyle name="Entête [hFB]" xfId="13" xr:uid="{00000000-0005-0000-0000-00000C000000}"/>
    <cellStyle name="Entête condensé [hFCB]" xfId="14" xr:uid="{00000000-0005-0000-0000-00000D000000}"/>
    <cellStyle name="Entête extra condensé [hFUCB]" xfId="15" xr:uid="{00000000-0005-0000-0000-00000E000000}"/>
    <cellStyle name="Entête ultra condensé [hFMCB]" xfId="16" xr:uid="{00000000-0005-0000-0000-00000F000000}"/>
    <cellStyle name="Monétaire 2" xfId="29" xr:uid="{00000000-0005-0000-0000-000010000000}"/>
    <cellStyle name="Non d‚fini" xfId="17" xr:uid="{00000000-0005-0000-0000-000011000000}"/>
    <cellStyle name="Normal" xfId="0" builtinId="0"/>
    <cellStyle name="Normal 2" xfId="18" xr:uid="{00000000-0005-0000-0000-000013000000}"/>
    <cellStyle name="Normal 2 3" xfId="34" xr:uid="{18B22113-6EA7-4A76-99E4-36A75EC70F90}"/>
    <cellStyle name="Normal 3" xfId="28" xr:uid="{00000000-0005-0000-0000-000014000000}"/>
    <cellStyle name="Normal 4" xfId="31" xr:uid="{2240EC14-F305-494F-AC1A-85932465B71C}"/>
    <cellStyle name="Nouveau groupe [gFB]" xfId="19" xr:uid="{00000000-0005-0000-0000-000015000000}"/>
    <cellStyle name="page" xfId="20" xr:uid="{00000000-0005-0000-0000-000016000000}"/>
    <cellStyle name="Percent" xfId="30" builtinId="5"/>
    <cellStyle name="texte" xfId="21" xr:uid="{00000000-0005-0000-0000-000017000000}"/>
    <cellStyle name="titre_trame" xfId="22" xr:uid="{00000000-0005-0000-0000-000018000000}"/>
    <cellStyle name="titre1" xfId="23" xr:uid="{00000000-0005-0000-0000-000019000000}"/>
    <cellStyle name="titre2" xfId="24" xr:uid="{00000000-0005-0000-0000-00001A000000}"/>
    <cellStyle name="titre3" xfId="25" xr:uid="{00000000-0005-0000-0000-00001B000000}"/>
    <cellStyle name="titre4_1" xfId="26" xr:uid="{00000000-0005-0000-0000-00001C000000}"/>
    <cellStyle name="Total" xfId="27" builtinId="25" customBuiltin="1"/>
  </cellStyles>
  <dxfs count="0"/>
  <tableStyles count="1" defaultTableStyle="TableStyleMedium2" defaultPivotStyle="PivotStyleLight16">
    <tableStyle name="Invisible" pivot="0" table="0" count="0" xr9:uid="{4E3B0918-D6A0-4D55-AC22-11943653C2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6" Type="http://schemas.openxmlformats.org/officeDocument/2006/relationships/image" Target="../media/image1.png"/><Relationship Id="rId5" Type="http://schemas.openxmlformats.org/officeDocument/2006/relationships/image" Target="../media/image7.emf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8</xdr:row>
      <xdr:rowOff>28575</xdr:rowOff>
    </xdr:from>
    <xdr:to>
      <xdr:col>6</xdr:col>
      <xdr:colOff>44406</xdr:colOff>
      <xdr:row>11</xdr:row>
      <xdr:rowOff>131762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552575"/>
          <a:ext cx="3787731" cy="67468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39</xdr:col>
      <xdr:colOff>483839</xdr:colOff>
      <xdr:row>30</xdr:row>
      <xdr:rowOff>38356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19C718-3902-7B9C-F104-25AE40297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181100"/>
          <a:ext cx="24105839" cy="4972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301607</xdr:colOff>
      <xdr:row>5</xdr:row>
      <xdr:rowOff>33598</xdr:rowOff>
    </xdr:from>
    <xdr:to>
      <xdr:col>4</xdr:col>
      <xdr:colOff>789287</xdr:colOff>
      <xdr:row>11</xdr:row>
      <xdr:rowOff>2425</xdr:rowOff>
    </xdr:to>
    <xdr:pic>
      <xdr:nvPicPr>
        <xdr:cNvPr id="7918" name="Picture 5" descr="santafee">
          <a:extLst>
            <a:ext uri="{FF2B5EF4-FFF2-40B4-BE49-F238E27FC236}">
              <a16:creationId xmlns:a16="http://schemas.microsoft.com/office/drawing/2014/main" id="{00000000-0008-0000-0100-0000EE1E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5357" y="1314181"/>
          <a:ext cx="487680" cy="13869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242242</xdr:colOff>
      <xdr:row>5</xdr:row>
      <xdr:rowOff>22033</xdr:rowOff>
    </xdr:from>
    <xdr:to>
      <xdr:col>5</xdr:col>
      <xdr:colOff>768022</xdr:colOff>
      <xdr:row>11</xdr:row>
      <xdr:rowOff>1655</xdr:rowOff>
    </xdr:to>
    <xdr:pic>
      <xdr:nvPicPr>
        <xdr:cNvPr id="7920" name="Picture 7" descr="ROCKPORT">
          <a:extLst>
            <a:ext uri="{FF2B5EF4-FFF2-40B4-BE49-F238E27FC236}">
              <a16:creationId xmlns:a16="http://schemas.microsoft.com/office/drawing/2014/main" id="{00000000-0008-0000-0100-0000F01E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992" y="1302616"/>
          <a:ext cx="525780" cy="1397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259080</xdr:colOff>
      <xdr:row>5</xdr:row>
      <xdr:rowOff>35348</xdr:rowOff>
    </xdr:from>
    <xdr:to>
      <xdr:col>6</xdr:col>
      <xdr:colOff>739140</xdr:colOff>
      <xdr:row>10</xdr:row>
      <xdr:rowOff>239183</xdr:rowOff>
    </xdr:to>
    <xdr:pic>
      <xdr:nvPicPr>
        <xdr:cNvPr id="7922" name="Image 2">
          <a:extLst>
            <a:ext uri="{FF2B5EF4-FFF2-40B4-BE49-F238E27FC236}">
              <a16:creationId xmlns:a16="http://schemas.microsoft.com/office/drawing/2014/main" id="{00000000-0008-0000-0100-0000F21E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4830" y="1315931"/>
          <a:ext cx="480060" cy="1368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297391</xdr:colOff>
      <xdr:row>5</xdr:row>
      <xdr:rowOff>19242</xdr:rowOff>
    </xdr:from>
    <xdr:to>
      <xdr:col>2</xdr:col>
      <xdr:colOff>809499</xdr:colOff>
      <xdr:row>10</xdr:row>
      <xdr:rowOff>243808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7391" y="1299825"/>
          <a:ext cx="512108" cy="1388733"/>
        </a:xfrm>
        <a:prstGeom prst="rect">
          <a:avLst/>
        </a:prstGeom>
      </xdr:spPr>
    </xdr:pic>
    <xdr:clientData/>
  </xdr:twoCellAnchor>
  <xdr:twoCellAnchor editAs="oneCell">
    <xdr:from>
      <xdr:col>7</xdr:col>
      <xdr:colOff>258233</xdr:colOff>
      <xdr:row>5</xdr:row>
      <xdr:rowOff>29633</xdr:rowOff>
    </xdr:from>
    <xdr:to>
      <xdr:col>7</xdr:col>
      <xdr:colOff>799253</xdr:colOff>
      <xdr:row>10</xdr:row>
      <xdr:rowOff>210608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9983" y="1310216"/>
          <a:ext cx="541020" cy="13451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oneCellAnchor>
    <xdr:from>
      <xdr:col>3</xdr:col>
      <xdr:colOff>275166</xdr:colOff>
      <xdr:row>5</xdr:row>
      <xdr:rowOff>0</xdr:rowOff>
    </xdr:from>
    <xdr:ext cx="561975" cy="1433512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92916" y="1280583"/>
          <a:ext cx="561975" cy="1433512"/>
        </a:xfrm>
        <a:prstGeom prst="rect">
          <a:avLst/>
        </a:prstGeom>
      </xdr:spPr>
    </xdr:pic>
    <xdr:clientData/>
  </xdr:oneCellAnchor>
  <xdr:twoCellAnchor editAs="oneCell">
    <xdr:from>
      <xdr:col>0</xdr:col>
      <xdr:colOff>52917</xdr:colOff>
      <xdr:row>0</xdr:row>
      <xdr:rowOff>254001</xdr:rowOff>
    </xdr:from>
    <xdr:to>
      <xdr:col>3</xdr:col>
      <xdr:colOff>846667</xdr:colOff>
      <xdr:row>2</xdr:row>
      <xdr:rowOff>226152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917" y="254001"/>
          <a:ext cx="3111500" cy="5542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278324</xdr:colOff>
      <xdr:row>5</xdr:row>
      <xdr:rowOff>25131</xdr:rowOff>
    </xdr:from>
    <xdr:to>
      <xdr:col>4</xdr:col>
      <xdr:colOff>766004</xdr:colOff>
      <xdr:row>10</xdr:row>
      <xdr:rowOff>251133</xdr:rowOff>
    </xdr:to>
    <xdr:pic>
      <xdr:nvPicPr>
        <xdr:cNvPr id="4" name="Picture 5" descr="santafe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6824" y="1305714"/>
          <a:ext cx="487680" cy="1390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208375</xdr:colOff>
      <xdr:row>5</xdr:row>
      <xdr:rowOff>22033</xdr:rowOff>
    </xdr:from>
    <xdr:to>
      <xdr:col>5</xdr:col>
      <xdr:colOff>734155</xdr:colOff>
      <xdr:row>11</xdr:row>
      <xdr:rowOff>1655</xdr:rowOff>
    </xdr:to>
    <xdr:pic>
      <xdr:nvPicPr>
        <xdr:cNvPr id="5" name="Picture 7" descr="ROCKPO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2875" y="1302616"/>
          <a:ext cx="525780" cy="1397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255905</xdr:colOff>
      <xdr:row>5</xdr:row>
      <xdr:rowOff>36407</xdr:rowOff>
    </xdr:from>
    <xdr:to>
      <xdr:col>6</xdr:col>
      <xdr:colOff>735965</xdr:colOff>
      <xdr:row>10</xdr:row>
      <xdr:rowOff>240242</xdr:rowOff>
    </xdr:to>
    <xdr:pic>
      <xdr:nvPicPr>
        <xdr:cNvPr id="6" name="Imag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6405" y="1316990"/>
          <a:ext cx="480060" cy="1368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189441</xdr:colOff>
      <xdr:row>5</xdr:row>
      <xdr:rowOff>19241</xdr:rowOff>
    </xdr:from>
    <xdr:to>
      <xdr:col>2</xdr:col>
      <xdr:colOff>701549</xdr:colOff>
      <xdr:row>10</xdr:row>
      <xdr:rowOff>243807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2358" y="1299824"/>
          <a:ext cx="512108" cy="1388733"/>
        </a:xfrm>
        <a:prstGeom prst="rect">
          <a:avLst/>
        </a:prstGeom>
      </xdr:spPr>
    </xdr:pic>
    <xdr:clientData/>
  </xdr:twoCellAnchor>
  <xdr:twoCellAnchor editAs="oneCell">
    <xdr:from>
      <xdr:col>7</xdr:col>
      <xdr:colOff>173567</xdr:colOff>
      <xdr:row>5</xdr:row>
      <xdr:rowOff>50800</xdr:rowOff>
    </xdr:from>
    <xdr:to>
      <xdr:col>7</xdr:col>
      <xdr:colOff>714587</xdr:colOff>
      <xdr:row>10</xdr:row>
      <xdr:rowOff>231775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0067" y="1331383"/>
          <a:ext cx="541020" cy="13451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oneCellAnchor>
    <xdr:from>
      <xdr:col>3</xdr:col>
      <xdr:colOff>222250</xdr:colOff>
      <xdr:row>5</xdr:row>
      <xdr:rowOff>0</xdr:rowOff>
    </xdr:from>
    <xdr:ext cx="561975" cy="1433512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44750" y="1280583"/>
          <a:ext cx="561975" cy="1433512"/>
        </a:xfrm>
        <a:prstGeom prst="rect">
          <a:avLst/>
        </a:prstGeom>
      </xdr:spPr>
    </xdr:pic>
    <xdr:clientData/>
  </xdr:oneCellAnchor>
  <xdr:twoCellAnchor editAs="oneCell">
    <xdr:from>
      <xdr:col>0</xdr:col>
      <xdr:colOff>222250</xdr:colOff>
      <xdr:row>0</xdr:row>
      <xdr:rowOff>232833</xdr:rowOff>
    </xdr:from>
    <xdr:to>
      <xdr:col>4</xdr:col>
      <xdr:colOff>10583</xdr:colOff>
      <xdr:row>2</xdr:row>
      <xdr:rowOff>189903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2250" y="232833"/>
          <a:ext cx="3026833" cy="5391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278323</xdr:colOff>
      <xdr:row>5</xdr:row>
      <xdr:rowOff>25131</xdr:rowOff>
    </xdr:from>
    <xdr:to>
      <xdr:col>3</xdr:col>
      <xdr:colOff>766003</xdr:colOff>
      <xdr:row>10</xdr:row>
      <xdr:rowOff>251133</xdr:rowOff>
    </xdr:to>
    <xdr:pic>
      <xdr:nvPicPr>
        <xdr:cNvPr id="4" name="Picture 5" descr="santafe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7240" y="1305714"/>
          <a:ext cx="487680" cy="1390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293042</xdr:colOff>
      <xdr:row>5</xdr:row>
      <xdr:rowOff>22032</xdr:rowOff>
    </xdr:from>
    <xdr:to>
      <xdr:col>4</xdr:col>
      <xdr:colOff>818822</xdr:colOff>
      <xdr:row>11</xdr:row>
      <xdr:rowOff>1654</xdr:rowOff>
    </xdr:to>
    <xdr:pic>
      <xdr:nvPicPr>
        <xdr:cNvPr id="5" name="Picture 7" descr="ROCKPO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7959" y="1302615"/>
          <a:ext cx="525780" cy="1397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266489</xdr:colOff>
      <xdr:row>5</xdr:row>
      <xdr:rowOff>25824</xdr:rowOff>
    </xdr:from>
    <xdr:to>
      <xdr:col>5</xdr:col>
      <xdr:colOff>746549</xdr:colOff>
      <xdr:row>10</xdr:row>
      <xdr:rowOff>229659</xdr:rowOff>
    </xdr:to>
    <xdr:pic>
      <xdr:nvPicPr>
        <xdr:cNvPr id="6" name="Imag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7406" y="1306407"/>
          <a:ext cx="480060" cy="1368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305858</xdr:colOff>
      <xdr:row>5</xdr:row>
      <xdr:rowOff>19241</xdr:rowOff>
    </xdr:from>
    <xdr:to>
      <xdr:col>2</xdr:col>
      <xdr:colOff>817966</xdr:colOff>
      <xdr:row>10</xdr:row>
      <xdr:rowOff>243807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" y="1299824"/>
          <a:ext cx="512108" cy="1388733"/>
        </a:xfrm>
        <a:prstGeom prst="rect">
          <a:avLst/>
        </a:prstGeom>
      </xdr:spPr>
    </xdr:pic>
    <xdr:clientData/>
  </xdr:twoCellAnchor>
  <xdr:twoCellAnchor editAs="oneCell">
    <xdr:from>
      <xdr:col>6</xdr:col>
      <xdr:colOff>237067</xdr:colOff>
      <xdr:row>5</xdr:row>
      <xdr:rowOff>50800</xdr:rowOff>
    </xdr:from>
    <xdr:to>
      <xdr:col>6</xdr:col>
      <xdr:colOff>778087</xdr:colOff>
      <xdr:row>10</xdr:row>
      <xdr:rowOff>231775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3984" y="1331383"/>
          <a:ext cx="541020" cy="13451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148166</xdr:colOff>
      <xdr:row>0</xdr:row>
      <xdr:rowOff>211667</xdr:rowOff>
    </xdr:from>
    <xdr:to>
      <xdr:col>3</xdr:col>
      <xdr:colOff>486832</xdr:colOff>
      <xdr:row>2</xdr:row>
      <xdr:rowOff>106527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166" y="211667"/>
          <a:ext cx="2677583" cy="4769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5</xdr:row>
      <xdr:rowOff>7795</xdr:rowOff>
    </xdr:from>
    <xdr:to>
      <xdr:col>1</xdr:col>
      <xdr:colOff>869348</xdr:colOff>
      <xdr:row>10</xdr:row>
      <xdr:rowOff>241393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284145"/>
          <a:ext cx="612173" cy="1405173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0</xdr:row>
      <xdr:rowOff>190502</xdr:rowOff>
    </xdr:from>
    <xdr:to>
      <xdr:col>2</xdr:col>
      <xdr:colOff>243417</xdr:colOff>
      <xdr:row>1</xdr:row>
      <xdr:rowOff>211601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190502"/>
          <a:ext cx="1841500" cy="3280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5</xdr:row>
      <xdr:rowOff>17320</xdr:rowOff>
    </xdr:from>
    <xdr:to>
      <xdr:col>1</xdr:col>
      <xdr:colOff>840773</xdr:colOff>
      <xdr:row>10</xdr:row>
      <xdr:rowOff>250918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1293670"/>
          <a:ext cx="612173" cy="140517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0</xdr:row>
      <xdr:rowOff>200026</xdr:rowOff>
    </xdr:from>
    <xdr:to>
      <xdr:col>2</xdr:col>
      <xdr:colOff>85726</xdr:colOff>
      <xdr:row>1</xdr:row>
      <xdr:rowOff>183654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1" y="200026"/>
          <a:ext cx="1619250" cy="2884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5</xdr:row>
      <xdr:rowOff>7795</xdr:rowOff>
    </xdr:from>
    <xdr:to>
      <xdr:col>1</xdr:col>
      <xdr:colOff>869348</xdr:colOff>
      <xdr:row>10</xdr:row>
      <xdr:rowOff>241393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284145"/>
          <a:ext cx="612173" cy="1405173"/>
        </a:xfrm>
        <a:prstGeom prst="rect">
          <a:avLst/>
        </a:prstGeom>
      </xdr:spPr>
    </xdr:pic>
    <xdr:clientData/>
  </xdr:twoCellAnchor>
  <xdr:twoCellAnchor editAs="oneCell">
    <xdr:from>
      <xdr:col>0</xdr:col>
      <xdr:colOff>31751</xdr:colOff>
      <xdr:row>0</xdr:row>
      <xdr:rowOff>74084</xdr:rowOff>
    </xdr:from>
    <xdr:to>
      <xdr:col>2</xdr:col>
      <xdr:colOff>445624</xdr:colOff>
      <xdr:row>1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1" y="74084"/>
          <a:ext cx="2138956" cy="381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202690</xdr:colOff>
      <xdr:row>5</xdr:row>
      <xdr:rowOff>6063</xdr:rowOff>
    </xdr:from>
    <xdr:to>
      <xdr:col>4</xdr:col>
      <xdr:colOff>823458</xdr:colOff>
      <xdr:row>10</xdr:row>
      <xdr:rowOff>217804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240" y="1282413"/>
          <a:ext cx="620768" cy="1383316"/>
        </a:xfrm>
        <a:prstGeom prst="rect">
          <a:avLst/>
        </a:prstGeom>
      </xdr:spPr>
    </xdr:pic>
    <xdr:clientData/>
  </xdr:twoCellAnchor>
  <xdr:twoCellAnchor editAs="oneCell">
    <xdr:from>
      <xdr:col>3</xdr:col>
      <xdr:colOff>152283</xdr:colOff>
      <xdr:row>5</xdr:row>
      <xdr:rowOff>9527</xdr:rowOff>
    </xdr:from>
    <xdr:to>
      <xdr:col>3</xdr:col>
      <xdr:colOff>786329</xdr:colOff>
      <xdr:row>10</xdr:row>
      <xdr:rowOff>236395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4658" y="1285877"/>
          <a:ext cx="634046" cy="1398443"/>
        </a:xfrm>
        <a:prstGeom prst="rect">
          <a:avLst/>
        </a:prstGeom>
      </xdr:spPr>
    </xdr:pic>
    <xdr:clientData/>
  </xdr:twoCellAnchor>
  <xdr:twoCellAnchor editAs="oneCell">
    <xdr:from>
      <xdr:col>1</xdr:col>
      <xdr:colOff>173665</xdr:colOff>
      <xdr:row>5</xdr:row>
      <xdr:rowOff>9525</xdr:rowOff>
    </xdr:from>
    <xdr:to>
      <xdr:col>1</xdr:col>
      <xdr:colOff>807868</xdr:colOff>
      <xdr:row>10</xdr:row>
      <xdr:rowOff>243105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7690" y="1285875"/>
          <a:ext cx="634203" cy="1405155"/>
        </a:xfrm>
        <a:prstGeom prst="rect">
          <a:avLst/>
        </a:prstGeom>
      </xdr:spPr>
    </xdr:pic>
    <xdr:clientData/>
  </xdr:twoCellAnchor>
  <xdr:twoCellAnchor editAs="oneCell">
    <xdr:from>
      <xdr:col>2</xdr:col>
      <xdr:colOff>161541</xdr:colOff>
      <xdr:row>5</xdr:row>
      <xdr:rowOff>16455</xdr:rowOff>
    </xdr:from>
    <xdr:to>
      <xdr:col>2</xdr:col>
      <xdr:colOff>797478</xdr:colOff>
      <xdr:row>11</xdr:row>
      <xdr:rowOff>1120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04741" y="1292805"/>
          <a:ext cx="635937" cy="141341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0</xdr:row>
      <xdr:rowOff>116418</xdr:rowOff>
    </xdr:from>
    <xdr:to>
      <xdr:col>2</xdr:col>
      <xdr:colOff>402168</xdr:colOff>
      <xdr:row>1</xdr:row>
      <xdr:rowOff>177105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01" y="116418"/>
          <a:ext cx="2063750" cy="36760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202690</xdr:colOff>
      <xdr:row>5</xdr:row>
      <xdr:rowOff>6063</xdr:rowOff>
    </xdr:from>
    <xdr:to>
      <xdr:col>4</xdr:col>
      <xdr:colOff>823458</xdr:colOff>
      <xdr:row>10</xdr:row>
      <xdr:rowOff>217804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4240" y="1282413"/>
          <a:ext cx="620768" cy="1383316"/>
        </a:xfrm>
        <a:prstGeom prst="rect">
          <a:avLst/>
        </a:prstGeom>
      </xdr:spPr>
    </xdr:pic>
    <xdr:clientData/>
  </xdr:twoCellAnchor>
  <xdr:twoCellAnchor editAs="oneCell">
    <xdr:from>
      <xdr:col>3</xdr:col>
      <xdr:colOff>152283</xdr:colOff>
      <xdr:row>5</xdr:row>
      <xdr:rowOff>9527</xdr:rowOff>
    </xdr:from>
    <xdr:to>
      <xdr:col>3</xdr:col>
      <xdr:colOff>786329</xdr:colOff>
      <xdr:row>10</xdr:row>
      <xdr:rowOff>236395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4658" y="1285877"/>
          <a:ext cx="634046" cy="1398443"/>
        </a:xfrm>
        <a:prstGeom prst="rect">
          <a:avLst/>
        </a:prstGeom>
      </xdr:spPr>
    </xdr:pic>
    <xdr:clientData/>
  </xdr:twoCellAnchor>
  <xdr:twoCellAnchor editAs="oneCell">
    <xdr:from>
      <xdr:col>1</xdr:col>
      <xdr:colOff>173665</xdr:colOff>
      <xdr:row>5</xdr:row>
      <xdr:rowOff>9525</xdr:rowOff>
    </xdr:from>
    <xdr:to>
      <xdr:col>1</xdr:col>
      <xdr:colOff>807868</xdr:colOff>
      <xdr:row>10</xdr:row>
      <xdr:rowOff>243105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7690" y="1285875"/>
          <a:ext cx="634203" cy="1405155"/>
        </a:xfrm>
        <a:prstGeom prst="rect">
          <a:avLst/>
        </a:prstGeom>
      </xdr:spPr>
    </xdr:pic>
    <xdr:clientData/>
  </xdr:twoCellAnchor>
  <xdr:twoCellAnchor editAs="oneCell">
    <xdr:from>
      <xdr:col>2</xdr:col>
      <xdr:colOff>161541</xdr:colOff>
      <xdr:row>5</xdr:row>
      <xdr:rowOff>16455</xdr:rowOff>
    </xdr:from>
    <xdr:to>
      <xdr:col>2</xdr:col>
      <xdr:colOff>797478</xdr:colOff>
      <xdr:row>11</xdr:row>
      <xdr:rowOff>1120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04741" y="1292805"/>
          <a:ext cx="635937" cy="141341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0</xdr:row>
      <xdr:rowOff>142876</xdr:rowOff>
    </xdr:from>
    <xdr:to>
      <xdr:col>2</xdr:col>
      <xdr:colOff>248661</xdr:colOff>
      <xdr:row>1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6" y="142876"/>
          <a:ext cx="1925060" cy="3429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202690</xdr:colOff>
      <xdr:row>5</xdr:row>
      <xdr:rowOff>6063</xdr:rowOff>
    </xdr:from>
    <xdr:to>
      <xdr:col>4</xdr:col>
      <xdr:colOff>823458</xdr:colOff>
      <xdr:row>10</xdr:row>
      <xdr:rowOff>217804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5065" y="1282413"/>
          <a:ext cx="620768" cy="1383316"/>
        </a:xfrm>
        <a:prstGeom prst="rect">
          <a:avLst/>
        </a:prstGeom>
      </xdr:spPr>
    </xdr:pic>
    <xdr:clientData/>
  </xdr:twoCellAnchor>
  <xdr:twoCellAnchor editAs="oneCell">
    <xdr:from>
      <xdr:col>3</xdr:col>
      <xdr:colOff>152283</xdr:colOff>
      <xdr:row>5</xdr:row>
      <xdr:rowOff>9527</xdr:rowOff>
    </xdr:from>
    <xdr:to>
      <xdr:col>3</xdr:col>
      <xdr:colOff>786329</xdr:colOff>
      <xdr:row>10</xdr:row>
      <xdr:rowOff>236395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5483" y="1285877"/>
          <a:ext cx="634046" cy="1398443"/>
        </a:xfrm>
        <a:prstGeom prst="rect">
          <a:avLst/>
        </a:prstGeom>
      </xdr:spPr>
    </xdr:pic>
    <xdr:clientData/>
  </xdr:twoCellAnchor>
  <xdr:twoCellAnchor editAs="oneCell">
    <xdr:from>
      <xdr:col>1</xdr:col>
      <xdr:colOff>173665</xdr:colOff>
      <xdr:row>5</xdr:row>
      <xdr:rowOff>9525</xdr:rowOff>
    </xdr:from>
    <xdr:to>
      <xdr:col>1</xdr:col>
      <xdr:colOff>807868</xdr:colOff>
      <xdr:row>10</xdr:row>
      <xdr:rowOff>243105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8515" y="1285875"/>
          <a:ext cx="634203" cy="1405155"/>
        </a:xfrm>
        <a:prstGeom prst="rect">
          <a:avLst/>
        </a:prstGeom>
      </xdr:spPr>
    </xdr:pic>
    <xdr:clientData/>
  </xdr:twoCellAnchor>
  <xdr:twoCellAnchor editAs="oneCell">
    <xdr:from>
      <xdr:col>2</xdr:col>
      <xdr:colOff>161541</xdr:colOff>
      <xdr:row>5</xdr:row>
      <xdr:rowOff>16455</xdr:rowOff>
    </xdr:from>
    <xdr:to>
      <xdr:col>2</xdr:col>
      <xdr:colOff>797478</xdr:colOff>
      <xdr:row>11</xdr:row>
      <xdr:rowOff>1120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566" y="1292805"/>
          <a:ext cx="635937" cy="1413415"/>
        </a:xfrm>
        <a:prstGeom prst="rect">
          <a:avLst/>
        </a:prstGeom>
      </xdr:spPr>
    </xdr:pic>
    <xdr:clientData/>
  </xdr:twoCellAnchor>
  <xdr:twoCellAnchor editAs="oneCell">
    <xdr:from>
      <xdr:col>0</xdr:col>
      <xdr:colOff>116417</xdr:colOff>
      <xdr:row>0</xdr:row>
      <xdr:rowOff>148168</xdr:rowOff>
    </xdr:from>
    <xdr:to>
      <xdr:col>2</xdr:col>
      <xdr:colOff>306917</xdr:colOff>
      <xdr:row>1</xdr:row>
      <xdr:rowOff>182463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417" y="148168"/>
          <a:ext cx="1915583" cy="3412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4</xdr:row>
      <xdr:rowOff>95250</xdr:rowOff>
    </xdr:from>
    <xdr:to>
      <xdr:col>1</xdr:col>
      <xdr:colOff>743376</xdr:colOff>
      <xdr:row>10</xdr:row>
      <xdr:rowOff>86231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1200150"/>
          <a:ext cx="524301" cy="1267331"/>
        </a:xfrm>
        <a:prstGeom prst="rect">
          <a:avLst/>
        </a:prstGeom>
      </xdr:spPr>
    </xdr:pic>
    <xdr:clientData/>
  </xdr:twoCellAnchor>
  <xdr:twoCellAnchor editAs="oneCell">
    <xdr:from>
      <xdr:col>0</xdr:col>
      <xdr:colOff>42335</xdr:colOff>
      <xdr:row>0</xdr:row>
      <xdr:rowOff>211666</xdr:rowOff>
    </xdr:from>
    <xdr:to>
      <xdr:col>2</xdr:col>
      <xdr:colOff>539752</xdr:colOff>
      <xdr:row>2</xdr:row>
      <xdr:rowOff>25464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5" y="211666"/>
          <a:ext cx="2222500" cy="3958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4</xdr:row>
      <xdr:rowOff>95250</xdr:rowOff>
    </xdr:from>
    <xdr:to>
      <xdr:col>1</xdr:col>
      <xdr:colOff>743376</xdr:colOff>
      <xdr:row>10</xdr:row>
      <xdr:rowOff>86231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1200150"/>
          <a:ext cx="524301" cy="126733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0</xdr:row>
      <xdr:rowOff>190500</xdr:rowOff>
    </xdr:from>
    <xdr:to>
      <xdr:col>2</xdr:col>
      <xdr:colOff>465668</xdr:colOff>
      <xdr:row>1</xdr:row>
      <xdr:rowOff>262498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90500"/>
          <a:ext cx="2127250" cy="3789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4</xdr:row>
      <xdr:rowOff>95250</xdr:rowOff>
    </xdr:from>
    <xdr:to>
      <xdr:col>1</xdr:col>
      <xdr:colOff>743376</xdr:colOff>
      <xdr:row>10</xdr:row>
      <xdr:rowOff>86231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1200150"/>
          <a:ext cx="524301" cy="1267331"/>
        </a:xfrm>
        <a:prstGeom prst="rect">
          <a:avLst/>
        </a:prstGeom>
      </xdr:spPr>
    </xdr:pic>
    <xdr:clientData/>
  </xdr:twoCellAnchor>
  <xdr:twoCellAnchor editAs="oneCell">
    <xdr:from>
      <xdr:col>0</xdr:col>
      <xdr:colOff>84668</xdr:colOff>
      <xdr:row>0</xdr:row>
      <xdr:rowOff>190501</xdr:rowOff>
    </xdr:from>
    <xdr:to>
      <xdr:col>2</xdr:col>
      <xdr:colOff>518585</xdr:colOff>
      <xdr:row>1</xdr:row>
      <xdr:rowOff>268154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68" y="190501"/>
          <a:ext cx="2159000" cy="3845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1800226</xdr:colOff>
      <xdr:row>0</xdr:row>
      <xdr:rowOff>66676</xdr:rowOff>
    </xdr:from>
    <xdr:to>
      <xdr:col>0</xdr:col>
      <xdr:colOff>4416426</xdr:colOff>
      <xdr:row>2</xdr:row>
      <xdr:rowOff>177700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6" y="66676"/>
          <a:ext cx="2762250" cy="49202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202406</xdr:colOff>
      <xdr:row>1</xdr:row>
      <xdr:rowOff>190501</xdr:rowOff>
    </xdr:from>
    <xdr:to>
      <xdr:col>2</xdr:col>
      <xdr:colOff>245268</xdr:colOff>
      <xdr:row>1</xdr:row>
      <xdr:rowOff>644351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6" y="357189"/>
          <a:ext cx="2555081" cy="45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169333</xdr:colOff>
      <xdr:row>1</xdr:row>
      <xdr:rowOff>0</xdr:rowOff>
    </xdr:from>
    <xdr:to>
      <xdr:col>5</xdr:col>
      <xdr:colOff>194027</xdr:colOff>
      <xdr:row>1</xdr:row>
      <xdr:rowOff>493909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61925"/>
          <a:ext cx="2758369" cy="493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8:I47"/>
  <sheetViews>
    <sheetView tabSelected="1" view="pageBreakPreview" zoomScaleNormal="100" zoomScaleSheetLayoutView="100" workbookViewId="0">
      <selection activeCell="I7" sqref="I7"/>
    </sheetView>
  </sheetViews>
  <sheetFormatPr defaultRowHeight="15.5"/>
  <sheetData>
    <row r="18" spans="1:9" ht="34.9" customHeight="1">
      <c r="A18" s="214" t="s">
        <v>26</v>
      </c>
      <c r="B18" s="214"/>
      <c r="C18" s="214"/>
      <c r="D18" s="214"/>
      <c r="E18" s="214"/>
      <c r="F18" s="214"/>
      <c r="G18" s="214"/>
      <c r="H18" s="22"/>
      <c r="I18" s="22"/>
    </row>
    <row r="20" spans="1:9">
      <c r="A20" s="215" t="s">
        <v>113</v>
      </c>
      <c r="B20" s="215"/>
      <c r="C20" s="215"/>
      <c r="D20" s="215"/>
      <c r="E20" s="215"/>
      <c r="F20" s="215"/>
      <c r="G20" s="215"/>
      <c r="H20" s="139"/>
      <c r="I20" s="139"/>
    </row>
    <row r="26" spans="1:9" ht="15" customHeight="1">
      <c r="B26" s="216" t="s">
        <v>116</v>
      </c>
      <c r="C26" s="216"/>
      <c r="D26" s="216"/>
      <c r="E26" s="216"/>
      <c r="F26" s="216"/>
      <c r="G26" s="23"/>
      <c r="H26" s="23"/>
      <c r="I26" s="23"/>
    </row>
    <row r="27" spans="1:9" ht="15" customHeight="1">
      <c r="B27" s="216"/>
      <c r="C27" s="216"/>
      <c r="D27" s="216"/>
      <c r="E27" s="216"/>
      <c r="F27" s="216"/>
      <c r="G27" s="23"/>
      <c r="H27" s="23"/>
      <c r="I27" s="23"/>
    </row>
    <row r="28" spans="1:9" ht="15" customHeight="1">
      <c r="B28" s="216"/>
      <c r="C28" s="216"/>
      <c r="D28" s="216"/>
      <c r="E28" s="216"/>
      <c r="F28" s="216"/>
      <c r="G28" s="23"/>
      <c r="H28" s="23"/>
      <c r="I28" s="23"/>
    </row>
    <row r="29" spans="1:9" ht="15" customHeight="1">
      <c r="B29" s="216"/>
      <c r="C29" s="216"/>
      <c r="D29" s="216"/>
      <c r="E29" s="216"/>
      <c r="F29" s="216"/>
      <c r="G29" s="23"/>
      <c r="H29" s="23"/>
      <c r="I29" s="23"/>
    </row>
    <row r="30" spans="1:9" ht="15" customHeight="1">
      <c r="B30" s="216"/>
      <c r="C30" s="216"/>
      <c r="D30" s="216"/>
      <c r="E30" s="216"/>
      <c r="F30" s="216"/>
      <c r="G30" s="23"/>
      <c r="H30" s="23"/>
      <c r="I30" s="23"/>
    </row>
    <row r="31" spans="1:9" ht="15" customHeight="1">
      <c r="B31" s="216"/>
      <c r="C31" s="216"/>
      <c r="D31" s="216"/>
      <c r="E31" s="216"/>
      <c r="F31" s="216"/>
      <c r="G31" s="23"/>
      <c r="H31" s="23"/>
      <c r="I31" s="23"/>
    </row>
    <row r="32" spans="1:9" ht="15" customHeight="1">
      <c r="B32" s="216"/>
      <c r="C32" s="216"/>
      <c r="D32" s="216"/>
      <c r="E32" s="216"/>
      <c r="F32" s="216"/>
      <c r="G32" s="23"/>
      <c r="H32" s="23"/>
      <c r="I32" s="23"/>
    </row>
    <row r="33" spans="1:9" ht="15" customHeight="1">
      <c r="D33" s="23"/>
      <c r="E33" s="23"/>
      <c r="F33" s="23"/>
      <c r="G33" s="23"/>
      <c r="H33" s="23"/>
      <c r="I33" s="23"/>
    </row>
    <row r="45" spans="1:9">
      <c r="A45" s="27"/>
    </row>
    <row r="46" spans="1:9">
      <c r="A46" s="27"/>
    </row>
    <row r="47" spans="1:9">
      <c r="A47" s="28"/>
    </row>
  </sheetData>
  <mergeCells count="3">
    <mergeCell ref="A18:G18"/>
    <mergeCell ref="A20:G20"/>
    <mergeCell ref="B26:F32"/>
  </mergeCells>
  <printOptions horizontalCentered="1"/>
  <pageMargins left="0.31496062992126" right="0.31496062992126" top="0.55118110236220497" bottom="0.35433070866141703" header="0.31496062992126" footer="0.31496062992126"/>
  <pageSetup orientation="portrait" r:id="rId1"/>
  <headerFooter alignWithMargins="0">
    <oddFooter>&amp;L&amp;P
&amp;RSEXTON  WEST
April 4, 2025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>
    <tabColor theme="9" tint="0.59999389629810485"/>
    <pageSetUpPr fitToPage="1"/>
  </sheetPr>
  <dimension ref="A1:HD65"/>
  <sheetViews>
    <sheetView defaultGridColor="0" view="pageBreakPreview" topLeftCell="A17" colorId="22" zoomScale="90" zoomScaleNormal="110" zoomScaleSheetLayoutView="90" workbookViewId="0">
      <selection activeCell="I9" sqref="I9"/>
    </sheetView>
  </sheetViews>
  <sheetFormatPr defaultColWidth="9" defaultRowHeight="15.5"/>
  <cols>
    <col min="1" max="1" width="5.23046875" style="3" customWidth="1"/>
    <col min="2" max="2" width="9.69140625" style="4" customWidth="1"/>
    <col min="3" max="3" width="12.23046875" style="4" customWidth="1"/>
    <col min="4" max="10" width="11.84375" style="3" customWidth="1"/>
    <col min="11" max="11" width="3.07421875" style="3" customWidth="1"/>
    <col min="12" max="12" width="9.53515625" style="34" customWidth="1"/>
    <col min="13" max="13" width="9.53515625" style="3" customWidth="1"/>
    <col min="14" max="14" width="11.23046875" style="3" bestFit="1" customWidth="1"/>
    <col min="15" max="16384" width="9" style="3"/>
  </cols>
  <sheetData>
    <row r="1" spans="1:212" ht="24" customHeight="1">
      <c r="A1" s="220" t="s">
        <v>14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212" ht="21.75" customHeight="1">
      <c r="A2" s="219" t="s">
        <v>113</v>
      </c>
      <c r="B2" s="219"/>
      <c r="C2" s="219"/>
      <c r="D2" s="219"/>
      <c r="E2" s="219"/>
      <c r="F2" s="219"/>
      <c r="G2" s="219"/>
      <c r="H2" s="219"/>
      <c r="I2" s="219"/>
      <c r="J2" s="219"/>
    </row>
    <row r="3" spans="1:212" ht="30" customHeight="1">
      <c r="A3" s="217" t="s">
        <v>116</v>
      </c>
      <c r="B3" s="217"/>
      <c r="C3" s="217"/>
      <c r="D3" s="217"/>
      <c r="E3" s="217"/>
      <c r="F3" s="217"/>
      <c r="G3" s="217"/>
      <c r="H3" s="217"/>
      <c r="I3" s="217"/>
      <c r="J3" s="217"/>
    </row>
    <row r="4" spans="1:212" ht="11.25" customHeight="1">
      <c r="D4" s="1"/>
      <c r="E4" s="2"/>
      <c r="F4" s="2"/>
      <c r="G4" s="2"/>
      <c r="H4" s="2"/>
      <c r="I4" s="1"/>
      <c r="J4" s="1"/>
    </row>
    <row r="5" spans="1:212" ht="13.5" customHeight="1">
      <c r="D5" s="11"/>
      <c r="E5" s="11"/>
      <c r="F5" s="11"/>
      <c r="G5" s="11"/>
      <c r="H5" s="11"/>
      <c r="I5" s="12"/>
      <c r="J5" s="9"/>
    </row>
    <row r="6" spans="1:212" ht="20.25" customHeight="1">
      <c r="A6" s="218" t="s">
        <v>51</v>
      </c>
      <c r="B6" s="1"/>
      <c r="C6" s="1"/>
      <c r="D6" s="1"/>
      <c r="E6" s="1"/>
      <c r="F6" s="1"/>
      <c r="G6" s="1"/>
      <c r="H6" s="1"/>
      <c r="I6" s="1"/>
    </row>
    <row r="7" spans="1:212" ht="20.25" customHeight="1">
      <c r="A7" s="218"/>
      <c r="B7" s="1"/>
      <c r="C7" s="1"/>
      <c r="D7" s="1"/>
      <c r="E7" s="1"/>
      <c r="F7" s="1"/>
      <c r="G7" s="1"/>
      <c r="H7" s="1"/>
      <c r="I7" s="1"/>
    </row>
    <row r="8" spans="1:212" ht="15.75" customHeight="1">
      <c r="A8" s="218"/>
      <c r="B8" s="1"/>
      <c r="C8" s="1"/>
      <c r="D8" s="1"/>
      <c r="E8" s="1"/>
      <c r="F8" s="1"/>
      <c r="G8" s="1"/>
      <c r="H8" s="1"/>
      <c r="I8" s="1"/>
    </row>
    <row r="9" spans="1:212" ht="15.75" customHeight="1">
      <c r="A9" s="218"/>
      <c r="B9" s="1"/>
      <c r="C9" s="1"/>
      <c r="D9" s="1"/>
      <c r="E9" s="1"/>
      <c r="F9" s="1"/>
      <c r="G9" s="1"/>
      <c r="H9" s="1"/>
      <c r="I9" s="1"/>
    </row>
    <row r="10" spans="1:212" ht="20.25" customHeight="1">
      <c r="A10" s="218"/>
      <c r="B10" s="1"/>
      <c r="C10" s="1"/>
      <c r="D10" s="1"/>
      <c r="E10" s="1"/>
      <c r="F10" s="1"/>
      <c r="G10" s="1"/>
      <c r="H10" s="1"/>
      <c r="I10" s="1"/>
    </row>
    <row r="11" spans="1:212" ht="20.25" customHeight="1">
      <c r="A11" s="218"/>
      <c r="B11" s="1"/>
      <c r="C11" s="1"/>
      <c r="D11" s="1"/>
      <c r="E11" s="1"/>
      <c r="F11" s="1"/>
      <c r="G11" s="1"/>
      <c r="H11" s="1"/>
      <c r="I11" s="1"/>
    </row>
    <row r="12" spans="1:212" ht="9" customHeight="1" thickBot="1">
      <c r="A12" s="4"/>
      <c r="B12" s="5"/>
      <c r="C12" s="5"/>
      <c r="D12" s="6"/>
      <c r="E12" s="6"/>
      <c r="F12" s="6"/>
      <c r="G12" s="6"/>
      <c r="H12" s="7"/>
      <c r="I12" s="7"/>
    </row>
    <row r="13" spans="1:212" ht="38.25" customHeight="1" thickTop="1" thickBot="1">
      <c r="B13" s="16"/>
      <c r="C13" s="17" t="s">
        <v>7</v>
      </c>
      <c r="D13" s="41" t="s">
        <v>107</v>
      </c>
      <c r="E13" s="15" t="s">
        <v>5</v>
      </c>
      <c r="F13" s="15" t="s">
        <v>6</v>
      </c>
      <c r="G13" s="15" t="s">
        <v>4</v>
      </c>
      <c r="H13" s="41" t="s">
        <v>8</v>
      </c>
      <c r="K13" s="13"/>
      <c r="L13" s="3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</row>
    <row r="14" spans="1:212" ht="16.5" thickTop="1" thickBot="1">
      <c r="B14" s="20" t="s">
        <v>9</v>
      </c>
      <c r="C14" s="19" t="s">
        <v>12</v>
      </c>
      <c r="D14" s="19" t="s">
        <v>13</v>
      </c>
      <c r="E14" s="19" t="s">
        <v>12</v>
      </c>
      <c r="F14" s="19" t="s">
        <v>12</v>
      </c>
      <c r="G14" s="19" t="s">
        <v>11</v>
      </c>
      <c r="H14" s="19" t="s">
        <v>12</v>
      </c>
      <c r="K14" s="13"/>
      <c r="L14" s="3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</row>
    <row r="15" spans="1:212" ht="16.5" thickTop="1" thickBot="1">
      <c r="B15" s="20" t="s">
        <v>10</v>
      </c>
      <c r="C15" s="19" t="s">
        <v>12</v>
      </c>
      <c r="D15" s="19" t="s">
        <v>49</v>
      </c>
      <c r="E15" s="19" t="s">
        <v>12</v>
      </c>
      <c r="F15" s="19" t="s">
        <v>12</v>
      </c>
      <c r="G15" s="51" t="s">
        <v>11</v>
      </c>
      <c r="H15" s="19" t="s">
        <v>12</v>
      </c>
      <c r="K15" s="13"/>
      <c r="L15" s="3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</row>
    <row r="16" spans="1:212" ht="16.5" customHeight="1" thickTop="1" thickBot="1">
      <c r="B16" s="8"/>
      <c r="C16" s="8"/>
      <c r="D16" s="10"/>
      <c r="E16" s="10"/>
      <c r="F16" s="11"/>
      <c r="G16" s="10"/>
      <c r="H16" s="10"/>
      <c r="I16" s="10"/>
      <c r="J16" s="10"/>
      <c r="K16" s="13"/>
      <c r="L16" s="3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</row>
    <row r="17" spans="3:212" ht="36" customHeight="1" thickTop="1" thickBot="1">
      <c r="C17" s="225" t="s">
        <v>3</v>
      </c>
      <c r="D17" s="226"/>
      <c r="E17" s="226"/>
      <c r="F17" s="227"/>
      <c r="G17" s="40" t="s">
        <v>105</v>
      </c>
      <c r="H17" s="40" t="s">
        <v>54</v>
      </c>
      <c r="J17" s="30"/>
      <c r="K17" s="13"/>
      <c r="L17" s="3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</row>
    <row r="18" spans="3:212" ht="30" customHeight="1" thickTop="1" thickBot="1">
      <c r="C18" s="229" t="s">
        <v>0</v>
      </c>
      <c r="D18" s="229"/>
      <c r="E18" s="229"/>
      <c r="F18" s="229"/>
      <c r="G18" s="229"/>
      <c r="H18" s="229"/>
      <c r="J18" s="21"/>
      <c r="K18" s="13"/>
      <c r="L18" s="3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</row>
    <row r="19" spans="3:212">
      <c r="C19" s="230" t="s">
        <v>30</v>
      </c>
      <c r="D19" s="231"/>
      <c r="E19" s="232" t="s">
        <v>31</v>
      </c>
      <c r="F19" s="232"/>
      <c r="G19" s="133">
        <v>72.5</v>
      </c>
      <c r="H19" s="133">
        <v>62.7</v>
      </c>
      <c r="J19" s="29"/>
      <c r="K19" s="13"/>
      <c r="L19" s="140">
        <f t="shared" ref="L19:L34" si="0">H19/G19</f>
        <v>0.86482758620689659</v>
      </c>
      <c r="M19" s="44"/>
      <c r="N19" s="4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</row>
    <row r="20" spans="3:212">
      <c r="C20" s="233" t="s">
        <v>32</v>
      </c>
      <c r="D20" s="234"/>
      <c r="E20" s="235" t="s">
        <v>39</v>
      </c>
      <c r="F20" s="235"/>
      <c r="G20" s="134">
        <v>72.5</v>
      </c>
      <c r="H20" s="134">
        <v>62.7</v>
      </c>
      <c r="J20" s="29"/>
      <c r="K20" s="13"/>
      <c r="L20" s="140">
        <f t="shared" si="0"/>
        <v>0.86482758620689659</v>
      </c>
      <c r="M20" s="44"/>
      <c r="N20" s="4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</row>
    <row r="21" spans="3:212">
      <c r="C21" s="233" t="s">
        <v>33</v>
      </c>
      <c r="D21" s="234"/>
      <c r="E21" s="235" t="s">
        <v>40</v>
      </c>
      <c r="F21" s="235"/>
      <c r="G21" s="134">
        <v>72.5</v>
      </c>
      <c r="H21" s="134">
        <v>62.7</v>
      </c>
      <c r="J21" s="29"/>
      <c r="K21" s="13"/>
      <c r="L21" s="140">
        <f t="shared" si="0"/>
        <v>0.86482758620689659</v>
      </c>
      <c r="M21" s="44"/>
      <c r="N21" s="4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</row>
    <row r="22" spans="3:212">
      <c r="C22" s="233" t="s">
        <v>28</v>
      </c>
      <c r="D22" s="234"/>
      <c r="E22" s="235" t="s">
        <v>29</v>
      </c>
      <c r="F22" s="235"/>
      <c r="G22" s="134">
        <v>72.5</v>
      </c>
      <c r="H22" s="134">
        <v>62.7</v>
      </c>
      <c r="J22" s="29"/>
      <c r="K22" s="13"/>
      <c r="L22" s="140">
        <f t="shared" si="0"/>
        <v>0.86482758620689659</v>
      </c>
      <c r="M22" s="44"/>
      <c r="N22" s="44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</row>
    <row r="23" spans="3:212">
      <c r="C23" s="233" t="s">
        <v>34</v>
      </c>
      <c r="D23" s="234"/>
      <c r="E23" s="235" t="s">
        <v>41</v>
      </c>
      <c r="F23" s="235"/>
      <c r="G23" s="134">
        <v>76.350000000000009</v>
      </c>
      <c r="H23" s="134">
        <v>66.05</v>
      </c>
      <c r="J23" s="29"/>
      <c r="K23" s="13"/>
      <c r="L23" s="140">
        <f t="shared" si="0"/>
        <v>0.86509495743287479</v>
      </c>
      <c r="M23" s="44"/>
      <c r="N23" s="4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</row>
    <row r="24" spans="3:212">
      <c r="C24" s="233" t="s">
        <v>35</v>
      </c>
      <c r="D24" s="234"/>
      <c r="E24" s="235" t="s">
        <v>42</v>
      </c>
      <c r="F24" s="235"/>
      <c r="G24" s="134">
        <v>76.350000000000009</v>
      </c>
      <c r="H24" s="134">
        <v>66.05</v>
      </c>
      <c r="J24" s="29"/>
      <c r="K24" s="13"/>
      <c r="L24" s="140">
        <f t="shared" si="0"/>
        <v>0.86509495743287479</v>
      </c>
      <c r="M24" s="44"/>
      <c r="N24" s="44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</row>
    <row r="25" spans="3:212">
      <c r="C25" s="233" t="s">
        <v>20</v>
      </c>
      <c r="D25" s="234"/>
      <c r="E25" s="235" t="s">
        <v>43</v>
      </c>
      <c r="F25" s="235"/>
      <c r="G25" s="134">
        <v>76.350000000000009</v>
      </c>
      <c r="H25" s="134">
        <v>66.05</v>
      </c>
      <c r="J25" s="29"/>
      <c r="K25" s="13"/>
      <c r="L25" s="140">
        <f t="shared" si="0"/>
        <v>0.86509495743287479</v>
      </c>
      <c r="M25" s="44"/>
      <c r="N25" s="44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</row>
    <row r="26" spans="3:212" s="32" customFormat="1">
      <c r="C26" s="233" t="s">
        <v>36</v>
      </c>
      <c r="D26" s="234"/>
      <c r="E26" s="235" t="s">
        <v>44</v>
      </c>
      <c r="F26" s="235"/>
      <c r="G26" s="134">
        <v>79.2</v>
      </c>
      <c r="H26" s="134">
        <v>68.5</v>
      </c>
      <c r="J26" s="29"/>
      <c r="K26" s="13"/>
      <c r="L26" s="140">
        <f t="shared" si="0"/>
        <v>0.86489898989898983</v>
      </c>
      <c r="M26" s="44"/>
      <c r="N26" s="44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</row>
    <row r="27" spans="3:212" s="32" customFormat="1">
      <c r="C27" s="233" t="s">
        <v>37</v>
      </c>
      <c r="D27" s="234"/>
      <c r="E27" s="235" t="s">
        <v>45</v>
      </c>
      <c r="F27" s="235"/>
      <c r="G27" s="134">
        <v>79.2</v>
      </c>
      <c r="H27" s="134">
        <v>68.5</v>
      </c>
      <c r="J27" s="29"/>
      <c r="K27" s="13"/>
      <c r="L27" s="140">
        <f t="shared" si="0"/>
        <v>0.86489898989898983</v>
      </c>
      <c r="M27" s="44"/>
      <c r="N27" s="44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</row>
    <row r="28" spans="3:212" ht="15.75" customHeight="1">
      <c r="C28" s="233" t="s">
        <v>21</v>
      </c>
      <c r="D28" s="234"/>
      <c r="E28" s="235" t="s">
        <v>46</v>
      </c>
      <c r="F28" s="235"/>
      <c r="G28" s="134">
        <v>79.2</v>
      </c>
      <c r="H28" s="134">
        <v>68.5</v>
      </c>
      <c r="J28" s="29"/>
      <c r="K28" s="13"/>
      <c r="L28" s="140">
        <f t="shared" si="0"/>
        <v>0.86489898989898983</v>
      </c>
      <c r="M28" s="44"/>
      <c r="N28" s="44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</row>
    <row r="29" spans="3:212">
      <c r="C29" s="233" t="s">
        <v>22</v>
      </c>
      <c r="D29" s="234"/>
      <c r="E29" s="235" t="s">
        <v>27</v>
      </c>
      <c r="F29" s="235"/>
      <c r="G29" s="134">
        <v>82</v>
      </c>
      <c r="H29" s="134">
        <v>70.95</v>
      </c>
      <c r="J29" s="29"/>
      <c r="K29" s="13"/>
      <c r="L29" s="140">
        <f t="shared" si="0"/>
        <v>0.86524390243902438</v>
      </c>
      <c r="M29" s="44"/>
      <c r="N29" s="4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</row>
    <row r="30" spans="3:212">
      <c r="C30" s="233" t="s">
        <v>38</v>
      </c>
      <c r="D30" s="234"/>
      <c r="E30" s="235" t="s">
        <v>47</v>
      </c>
      <c r="F30" s="235"/>
      <c r="G30" s="134">
        <v>86</v>
      </c>
      <c r="H30" s="134">
        <v>74.400000000000006</v>
      </c>
      <c r="J30" s="29"/>
      <c r="K30" s="13"/>
      <c r="L30" s="140">
        <f t="shared" si="0"/>
        <v>0.86511627906976751</v>
      </c>
      <c r="M30" s="44"/>
      <c r="N30" s="44"/>
    </row>
    <row r="31" spans="3:212">
      <c r="C31" s="233" t="s">
        <v>24</v>
      </c>
      <c r="D31" s="234"/>
      <c r="E31" s="235" t="s">
        <v>25</v>
      </c>
      <c r="F31" s="235"/>
      <c r="G31" s="134">
        <v>86</v>
      </c>
      <c r="H31" s="134">
        <v>74.400000000000006</v>
      </c>
      <c r="J31" s="29"/>
      <c r="K31" s="13"/>
      <c r="L31" s="140">
        <f t="shared" si="0"/>
        <v>0.86511627906976751</v>
      </c>
      <c r="M31" s="44"/>
      <c r="N31" s="44"/>
    </row>
    <row r="32" spans="3:212" ht="16.149999999999999" customHeight="1">
      <c r="C32" s="233" t="s">
        <v>55</v>
      </c>
      <c r="D32" s="234"/>
      <c r="E32" s="235" t="s">
        <v>57</v>
      </c>
      <c r="F32" s="235"/>
      <c r="G32" s="134">
        <v>119.05000000000001</v>
      </c>
      <c r="H32" s="134">
        <v>103</v>
      </c>
      <c r="J32" s="29"/>
      <c r="K32" s="13"/>
      <c r="L32" s="140">
        <f t="shared" si="0"/>
        <v>0.86518269634607303</v>
      </c>
      <c r="M32" s="44"/>
      <c r="N32" s="44"/>
    </row>
    <row r="33" spans="2:15" ht="16.149999999999999" customHeight="1">
      <c r="C33" s="236" t="s">
        <v>59</v>
      </c>
      <c r="D33" s="237"/>
      <c r="E33" s="237"/>
      <c r="F33" s="238"/>
      <c r="G33" s="134">
        <v>30.75</v>
      </c>
      <c r="H33" s="134">
        <v>26.6</v>
      </c>
      <c r="J33" s="29"/>
      <c r="K33" s="13"/>
      <c r="L33" s="140">
        <f t="shared" si="0"/>
        <v>0.86504065040650413</v>
      </c>
      <c r="M33" s="134">
        <f>G33*0.865</f>
        <v>26.598749999999999</v>
      </c>
      <c r="N33" s="44"/>
    </row>
    <row r="34" spans="2:15" ht="16.149999999999999" customHeight="1" thickBot="1">
      <c r="C34" s="239" t="s">
        <v>60</v>
      </c>
      <c r="D34" s="240"/>
      <c r="E34" s="240"/>
      <c r="F34" s="241"/>
      <c r="G34" s="135">
        <v>85.350000000000009</v>
      </c>
      <c r="H34" s="135">
        <v>73.850000000000009</v>
      </c>
      <c r="J34" s="29"/>
      <c r="K34" s="13"/>
      <c r="L34" s="140">
        <f t="shared" si="0"/>
        <v>0.86526069127123606</v>
      </c>
      <c r="M34" s="134">
        <f>G34*0.865</f>
        <v>73.827750000000009</v>
      </c>
      <c r="N34" s="44"/>
    </row>
    <row r="35" spans="2:15" ht="30" customHeight="1" thickBot="1">
      <c r="B35" s="3"/>
      <c r="C35" s="228" t="s">
        <v>58</v>
      </c>
      <c r="D35" s="228"/>
      <c r="E35" s="228"/>
      <c r="F35" s="228"/>
      <c r="G35" s="228"/>
      <c r="H35" s="228"/>
      <c r="J35" s="25"/>
      <c r="L35" s="140"/>
      <c r="M35" s="13"/>
    </row>
    <row r="36" spans="2:15" ht="16.149999999999999" customHeight="1">
      <c r="C36" s="242" t="s">
        <v>28</v>
      </c>
      <c r="D36" s="243"/>
      <c r="E36" s="244" t="s">
        <v>29</v>
      </c>
      <c r="F36" s="245"/>
      <c r="G36" s="133">
        <v>92.850000000000009</v>
      </c>
      <c r="H36" s="136">
        <v>80.300000000000011</v>
      </c>
      <c r="J36" s="29"/>
      <c r="L36" s="140">
        <f t="shared" ref="L36:L45" si="1">H36/G36</f>
        <v>0.86483575659666134</v>
      </c>
      <c r="M36" s="42"/>
      <c r="N36" s="45"/>
      <c r="O36" s="45"/>
    </row>
    <row r="37" spans="2:15" ht="16.149999999999999" customHeight="1">
      <c r="C37" s="221" t="s">
        <v>34</v>
      </c>
      <c r="D37" s="222"/>
      <c r="E37" s="223" t="s">
        <v>41</v>
      </c>
      <c r="F37" s="224"/>
      <c r="G37" s="134">
        <v>92.850000000000009</v>
      </c>
      <c r="H37" s="137">
        <v>80.300000000000011</v>
      </c>
      <c r="J37" s="29"/>
      <c r="L37" s="140">
        <f t="shared" si="1"/>
        <v>0.86483575659666134</v>
      </c>
      <c r="M37" s="42"/>
      <c r="N37" s="45"/>
      <c r="O37" s="45"/>
    </row>
    <row r="38" spans="2:15" ht="16.149999999999999" customHeight="1">
      <c r="C38" s="221" t="s">
        <v>35</v>
      </c>
      <c r="D38" s="222"/>
      <c r="E38" s="223" t="s">
        <v>42</v>
      </c>
      <c r="F38" s="224"/>
      <c r="G38" s="134">
        <v>92.850000000000009</v>
      </c>
      <c r="H38" s="137">
        <v>80.300000000000011</v>
      </c>
      <c r="J38" s="29"/>
      <c r="L38" s="140">
        <f t="shared" si="1"/>
        <v>0.86483575659666134</v>
      </c>
      <c r="M38" s="42"/>
      <c r="N38" s="45"/>
      <c r="O38" s="45"/>
    </row>
    <row r="39" spans="2:15" ht="16.149999999999999" customHeight="1">
      <c r="C39" s="221" t="s">
        <v>20</v>
      </c>
      <c r="D39" s="222"/>
      <c r="E39" s="223" t="s">
        <v>43</v>
      </c>
      <c r="F39" s="224"/>
      <c r="G39" s="134">
        <v>92.850000000000009</v>
      </c>
      <c r="H39" s="137">
        <v>80.300000000000011</v>
      </c>
      <c r="J39" s="29"/>
      <c r="L39" s="140">
        <f t="shared" si="1"/>
        <v>0.86483575659666134</v>
      </c>
      <c r="M39" s="42"/>
      <c r="N39" s="45"/>
      <c r="O39" s="45"/>
    </row>
    <row r="40" spans="2:15" ht="16.149999999999999" customHeight="1">
      <c r="C40" s="221" t="s">
        <v>36</v>
      </c>
      <c r="D40" s="222"/>
      <c r="E40" s="223" t="s">
        <v>44</v>
      </c>
      <c r="F40" s="224"/>
      <c r="G40" s="134">
        <v>102.2</v>
      </c>
      <c r="H40" s="137">
        <v>88.4</v>
      </c>
      <c r="J40" s="29"/>
      <c r="L40" s="140">
        <f t="shared" si="1"/>
        <v>0.86497064579256366</v>
      </c>
      <c r="M40" s="42"/>
      <c r="N40" s="45"/>
      <c r="O40" s="45"/>
    </row>
    <row r="41" spans="2:15" ht="16.149999999999999" customHeight="1">
      <c r="C41" s="221" t="s">
        <v>37</v>
      </c>
      <c r="D41" s="222"/>
      <c r="E41" s="223" t="s">
        <v>45</v>
      </c>
      <c r="F41" s="224"/>
      <c r="G41" s="134">
        <v>102.2</v>
      </c>
      <c r="H41" s="137">
        <v>88.4</v>
      </c>
      <c r="J41" s="29"/>
      <c r="L41" s="140">
        <f t="shared" si="1"/>
        <v>0.86497064579256366</v>
      </c>
      <c r="M41" s="42"/>
      <c r="N41" s="45"/>
      <c r="O41" s="45"/>
    </row>
    <row r="42" spans="2:15" ht="16.149999999999999" customHeight="1">
      <c r="C42" s="221" t="s">
        <v>21</v>
      </c>
      <c r="D42" s="222"/>
      <c r="E42" s="223" t="s">
        <v>46</v>
      </c>
      <c r="F42" s="224"/>
      <c r="G42" s="134">
        <v>102.2</v>
      </c>
      <c r="H42" s="137">
        <v>88.4</v>
      </c>
      <c r="J42" s="29"/>
      <c r="L42" s="140">
        <f t="shared" si="1"/>
        <v>0.86497064579256366</v>
      </c>
      <c r="M42" s="42"/>
      <c r="N42" s="45"/>
      <c r="O42" s="45"/>
    </row>
    <row r="43" spans="2:15" ht="16.149999999999999" customHeight="1">
      <c r="C43" s="221" t="s">
        <v>22</v>
      </c>
      <c r="D43" s="222"/>
      <c r="E43" s="223" t="s">
        <v>27</v>
      </c>
      <c r="F43" s="224"/>
      <c r="G43" s="134">
        <v>108.25</v>
      </c>
      <c r="H43" s="137">
        <v>93.65</v>
      </c>
      <c r="J43" s="29"/>
      <c r="L43" s="140">
        <f t="shared" si="1"/>
        <v>0.86512702078521941</v>
      </c>
      <c r="M43" s="42"/>
      <c r="N43" s="45"/>
      <c r="O43" s="45"/>
    </row>
    <row r="44" spans="2:15" ht="16.149999999999999" customHeight="1">
      <c r="C44" s="221" t="s">
        <v>38</v>
      </c>
      <c r="D44" s="222"/>
      <c r="E44" s="223" t="s">
        <v>47</v>
      </c>
      <c r="F44" s="224"/>
      <c r="G44" s="134">
        <v>108.25</v>
      </c>
      <c r="H44" s="137">
        <v>93.65</v>
      </c>
      <c r="J44" s="29"/>
      <c r="L44" s="140">
        <f t="shared" si="1"/>
        <v>0.86512702078521941</v>
      </c>
      <c r="M44" s="42"/>
      <c r="N44" s="45"/>
      <c r="O44" s="45"/>
    </row>
    <row r="45" spans="2:15">
      <c r="C45" s="233" t="s">
        <v>24</v>
      </c>
      <c r="D45" s="234"/>
      <c r="E45" s="223" t="s">
        <v>25</v>
      </c>
      <c r="F45" s="224"/>
      <c r="G45" s="134">
        <v>108.25</v>
      </c>
      <c r="H45" s="137">
        <v>93.65</v>
      </c>
      <c r="J45" s="29"/>
      <c r="L45" s="140">
        <f t="shared" si="1"/>
        <v>0.86512702078521941</v>
      </c>
      <c r="M45" s="42"/>
      <c r="N45" s="45"/>
      <c r="O45" s="45"/>
    </row>
    <row r="46" spans="2:15">
      <c r="C46" s="236" t="s">
        <v>59</v>
      </c>
      <c r="D46" s="237"/>
      <c r="E46" s="237"/>
      <c r="F46" s="238"/>
      <c r="G46" s="134">
        <v>30.75</v>
      </c>
      <c r="H46" s="134">
        <v>26.6</v>
      </c>
      <c r="J46" s="29"/>
      <c r="L46" s="140">
        <f t="shared" ref="L46:L47" si="2">H46/G46</f>
        <v>0.86504065040650413</v>
      </c>
      <c r="M46" s="211">
        <f>G46*0.865</f>
        <v>26.598749999999999</v>
      </c>
      <c r="N46" s="45"/>
      <c r="O46" s="45"/>
    </row>
    <row r="47" spans="2:15" ht="15.75" customHeight="1" thickBot="1">
      <c r="C47" s="239" t="s">
        <v>60</v>
      </c>
      <c r="D47" s="240"/>
      <c r="E47" s="240"/>
      <c r="F47" s="241"/>
      <c r="G47" s="135">
        <v>85.350000000000009</v>
      </c>
      <c r="H47" s="135">
        <v>73.850000000000009</v>
      </c>
      <c r="J47" s="29"/>
      <c r="L47" s="140">
        <f t="shared" si="2"/>
        <v>0.86526069127123606</v>
      </c>
      <c r="M47" s="211">
        <f>G47*0.865</f>
        <v>73.827750000000009</v>
      </c>
      <c r="N47" s="45"/>
      <c r="O47" s="45"/>
    </row>
    <row r="48" spans="2:15" ht="30.75" customHeight="1" thickBot="1">
      <c r="C48" s="228" t="s">
        <v>23</v>
      </c>
      <c r="D48" s="228"/>
      <c r="E48" s="228"/>
      <c r="F48" s="228"/>
      <c r="G48" s="228"/>
      <c r="H48" s="228"/>
      <c r="J48" s="25"/>
      <c r="L48" s="140"/>
      <c r="M48" s="13"/>
    </row>
    <row r="49" spans="2:14" ht="15" customHeight="1">
      <c r="C49" s="230" t="s">
        <v>30</v>
      </c>
      <c r="D49" s="231"/>
      <c r="E49" s="232" t="s">
        <v>31</v>
      </c>
      <c r="F49" s="232"/>
      <c r="G49" s="133">
        <v>160.5</v>
      </c>
      <c r="H49" s="133">
        <v>138.85</v>
      </c>
      <c r="I49" s="130"/>
      <c r="J49" s="29"/>
      <c r="L49" s="140">
        <f t="shared" ref="L49:L64" si="3">H49/G49</f>
        <v>0.86510903426791275</v>
      </c>
      <c r="M49" s="60"/>
      <c r="N49" s="46"/>
    </row>
    <row r="50" spans="2:14" ht="15" customHeight="1">
      <c r="C50" s="233" t="s">
        <v>32</v>
      </c>
      <c r="D50" s="234"/>
      <c r="E50" s="235" t="s">
        <v>39</v>
      </c>
      <c r="F50" s="235"/>
      <c r="G50" s="134">
        <v>160.5</v>
      </c>
      <c r="H50" s="134">
        <v>138.85</v>
      </c>
      <c r="I50" s="130"/>
      <c r="J50" s="29"/>
      <c r="L50" s="140">
        <f t="shared" si="3"/>
        <v>0.86510903426791275</v>
      </c>
      <c r="M50" s="60"/>
      <c r="N50" s="46"/>
    </row>
    <row r="51" spans="2:14" ht="15" customHeight="1">
      <c r="C51" s="233" t="s">
        <v>33</v>
      </c>
      <c r="D51" s="234"/>
      <c r="E51" s="235" t="s">
        <v>40</v>
      </c>
      <c r="F51" s="235"/>
      <c r="G51" s="134">
        <v>160.5</v>
      </c>
      <c r="H51" s="134">
        <v>138.85</v>
      </c>
      <c r="I51" s="130"/>
      <c r="J51" s="29"/>
      <c r="L51" s="140">
        <f t="shared" si="3"/>
        <v>0.86510903426791275</v>
      </c>
      <c r="M51" s="60"/>
      <c r="N51" s="46"/>
    </row>
    <row r="52" spans="2:14" ht="15" customHeight="1">
      <c r="C52" s="233" t="s">
        <v>28</v>
      </c>
      <c r="D52" s="234"/>
      <c r="E52" s="235" t="s">
        <v>29</v>
      </c>
      <c r="F52" s="235"/>
      <c r="G52" s="134">
        <v>160.5</v>
      </c>
      <c r="H52" s="134">
        <v>138.85</v>
      </c>
      <c r="I52" s="130"/>
      <c r="J52" s="29"/>
      <c r="L52" s="140">
        <f t="shared" si="3"/>
        <v>0.86510903426791275</v>
      </c>
      <c r="M52" s="60"/>
      <c r="N52" s="46"/>
    </row>
    <row r="53" spans="2:14" ht="15" customHeight="1">
      <c r="C53" s="233" t="s">
        <v>34</v>
      </c>
      <c r="D53" s="234"/>
      <c r="E53" s="235" t="s">
        <v>41</v>
      </c>
      <c r="F53" s="235"/>
      <c r="G53" s="134">
        <v>164.35000000000002</v>
      </c>
      <c r="H53" s="134">
        <v>142.15</v>
      </c>
      <c r="I53" s="130"/>
      <c r="J53" s="29"/>
      <c r="L53" s="140">
        <f t="shared" si="3"/>
        <v>0.86492242166108901</v>
      </c>
      <c r="M53" s="60"/>
      <c r="N53" s="46"/>
    </row>
    <row r="54" spans="2:14" ht="15" customHeight="1">
      <c r="C54" s="233" t="s">
        <v>35</v>
      </c>
      <c r="D54" s="234"/>
      <c r="E54" s="235" t="s">
        <v>42</v>
      </c>
      <c r="F54" s="235"/>
      <c r="G54" s="134">
        <v>164.35000000000002</v>
      </c>
      <c r="H54" s="134">
        <v>142.15</v>
      </c>
      <c r="I54" s="130"/>
      <c r="J54" s="29"/>
      <c r="L54" s="140">
        <f t="shared" si="3"/>
        <v>0.86492242166108901</v>
      </c>
      <c r="M54" s="60"/>
      <c r="N54" s="46"/>
    </row>
    <row r="55" spans="2:14" ht="15" customHeight="1">
      <c r="C55" s="233" t="s">
        <v>20</v>
      </c>
      <c r="D55" s="234"/>
      <c r="E55" s="235" t="s">
        <v>43</v>
      </c>
      <c r="F55" s="235"/>
      <c r="G55" s="134">
        <v>164.35000000000002</v>
      </c>
      <c r="H55" s="134">
        <v>142.15</v>
      </c>
      <c r="I55" s="130"/>
      <c r="J55" s="29"/>
      <c r="L55" s="140">
        <f t="shared" si="3"/>
        <v>0.86492242166108901</v>
      </c>
      <c r="M55" s="60"/>
      <c r="N55" s="46"/>
    </row>
    <row r="56" spans="2:14" ht="15" customHeight="1">
      <c r="C56" s="233" t="s">
        <v>36</v>
      </c>
      <c r="D56" s="234"/>
      <c r="E56" s="235" t="s">
        <v>44</v>
      </c>
      <c r="F56" s="235"/>
      <c r="G56" s="134">
        <v>167.2</v>
      </c>
      <c r="H56" s="134">
        <v>144.65</v>
      </c>
      <c r="I56" s="130"/>
      <c r="J56" s="29"/>
      <c r="L56" s="140">
        <f t="shared" si="3"/>
        <v>0.86513157894736847</v>
      </c>
      <c r="M56" s="60"/>
      <c r="N56" s="46"/>
    </row>
    <row r="57" spans="2:14" ht="15" customHeight="1">
      <c r="C57" s="233" t="s">
        <v>37</v>
      </c>
      <c r="D57" s="234"/>
      <c r="E57" s="235" t="s">
        <v>45</v>
      </c>
      <c r="F57" s="235"/>
      <c r="G57" s="134">
        <v>167.2</v>
      </c>
      <c r="H57" s="134">
        <v>144.65</v>
      </c>
      <c r="I57" s="130"/>
      <c r="J57" s="29"/>
      <c r="L57" s="140">
        <f t="shared" si="3"/>
        <v>0.86513157894736847</v>
      </c>
      <c r="M57" s="60"/>
      <c r="N57" s="46"/>
    </row>
    <row r="58" spans="2:14">
      <c r="C58" s="233" t="s">
        <v>21</v>
      </c>
      <c r="D58" s="234"/>
      <c r="E58" s="235" t="s">
        <v>46</v>
      </c>
      <c r="F58" s="235"/>
      <c r="G58" s="134">
        <v>167.2</v>
      </c>
      <c r="H58" s="134">
        <v>144.65</v>
      </c>
      <c r="I58" s="130"/>
      <c r="J58" s="29"/>
      <c r="L58" s="140">
        <f t="shared" si="3"/>
        <v>0.86513157894736847</v>
      </c>
      <c r="M58" s="60"/>
      <c r="N58" s="46"/>
    </row>
    <row r="59" spans="2:14">
      <c r="C59" s="233" t="s">
        <v>22</v>
      </c>
      <c r="D59" s="234"/>
      <c r="E59" s="235" t="s">
        <v>27</v>
      </c>
      <c r="F59" s="235"/>
      <c r="G59" s="134">
        <v>170</v>
      </c>
      <c r="H59" s="134">
        <v>147.05000000000001</v>
      </c>
      <c r="I59" s="130"/>
      <c r="J59" s="29"/>
      <c r="L59" s="140">
        <f t="shared" si="3"/>
        <v>0.8650000000000001</v>
      </c>
      <c r="M59" s="60"/>
      <c r="N59" s="46"/>
    </row>
    <row r="60" spans="2:14">
      <c r="C60" s="233" t="s">
        <v>38</v>
      </c>
      <c r="D60" s="234"/>
      <c r="E60" s="235" t="s">
        <v>47</v>
      </c>
      <c r="F60" s="235"/>
      <c r="G60" s="134">
        <v>174</v>
      </c>
      <c r="H60" s="134">
        <v>150.5</v>
      </c>
      <c r="I60" s="130"/>
      <c r="J60" s="29"/>
      <c r="L60" s="140">
        <f t="shared" si="3"/>
        <v>0.86494252873563215</v>
      </c>
      <c r="M60" s="60"/>
      <c r="N60" s="46"/>
    </row>
    <row r="61" spans="2:14">
      <c r="C61" s="233" t="s">
        <v>24</v>
      </c>
      <c r="D61" s="234"/>
      <c r="E61" s="235" t="s">
        <v>25</v>
      </c>
      <c r="F61" s="235"/>
      <c r="G61" s="134">
        <v>174</v>
      </c>
      <c r="H61" s="134">
        <v>150.5</v>
      </c>
      <c r="I61" s="130"/>
      <c r="J61" s="29"/>
      <c r="L61" s="140">
        <f t="shared" si="3"/>
        <v>0.86494252873563215</v>
      </c>
      <c r="M61" s="60"/>
      <c r="N61" s="46"/>
    </row>
    <row r="62" spans="2:14" ht="16.149999999999999" customHeight="1">
      <c r="C62" s="233" t="s">
        <v>55</v>
      </c>
      <c r="D62" s="234"/>
      <c r="E62" s="235" t="s">
        <v>57</v>
      </c>
      <c r="F62" s="235"/>
      <c r="G62" s="134">
        <v>207.05</v>
      </c>
      <c r="H62" s="134">
        <v>179.10000000000002</v>
      </c>
      <c r="I62" s="130"/>
      <c r="J62" s="29"/>
      <c r="L62" s="140">
        <f t="shared" si="3"/>
        <v>0.86500845206471877</v>
      </c>
      <c r="M62" s="60"/>
      <c r="N62" s="46"/>
    </row>
    <row r="63" spans="2:14" ht="17.25" customHeight="1">
      <c r="B63" s="25"/>
      <c r="C63" s="236" t="s">
        <v>59</v>
      </c>
      <c r="D63" s="237"/>
      <c r="E63" s="237"/>
      <c r="F63" s="238"/>
      <c r="G63" s="134">
        <v>16.399999999999999</v>
      </c>
      <c r="H63" s="134">
        <v>14.2</v>
      </c>
      <c r="J63" s="25"/>
      <c r="L63" s="140">
        <f t="shared" si="3"/>
        <v>0.86585365853658536</v>
      </c>
      <c r="M63" s="3">
        <v>16.399999999999999</v>
      </c>
      <c r="N63" s="3">
        <f>M63*0.865</f>
        <v>14.185999999999998</v>
      </c>
    </row>
    <row r="64" spans="2:14" ht="16" thickBot="1">
      <c r="C64" s="239" t="s">
        <v>60</v>
      </c>
      <c r="D64" s="240"/>
      <c r="E64" s="240"/>
      <c r="F64" s="241"/>
      <c r="G64" s="135">
        <v>108.1</v>
      </c>
      <c r="H64" s="135">
        <v>93.5</v>
      </c>
      <c r="L64" s="140">
        <f t="shared" si="3"/>
        <v>0.86493987049028687</v>
      </c>
      <c r="M64" s="3">
        <v>108.1</v>
      </c>
      <c r="N64" s="3">
        <f>M64*0.865</f>
        <v>93.506499999999988</v>
      </c>
    </row>
    <row r="65" spans="12:12">
      <c r="L65" s="141"/>
    </row>
  </sheetData>
  <mergeCells count="90">
    <mergeCell ref="C54:D54"/>
    <mergeCell ref="E54:F54"/>
    <mergeCell ref="C55:D55"/>
    <mergeCell ref="E55:F55"/>
    <mergeCell ref="E60:F60"/>
    <mergeCell ref="C51:D51"/>
    <mergeCell ref="E51:F51"/>
    <mergeCell ref="C52:D52"/>
    <mergeCell ref="E52:F52"/>
    <mergeCell ref="C53:D53"/>
    <mergeCell ref="E53:F53"/>
    <mergeCell ref="C38:D38"/>
    <mergeCell ref="E38:F38"/>
    <mergeCell ref="C39:D39"/>
    <mergeCell ref="E39:F39"/>
    <mergeCell ref="C40:D40"/>
    <mergeCell ref="E40:F40"/>
    <mergeCell ref="C34:F34"/>
    <mergeCell ref="C36:D36"/>
    <mergeCell ref="E36:F36"/>
    <mergeCell ref="C37:D37"/>
    <mergeCell ref="E37:F37"/>
    <mergeCell ref="C31:D31"/>
    <mergeCell ref="E31:F31"/>
    <mergeCell ref="C32:D32"/>
    <mergeCell ref="E32:F32"/>
    <mergeCell ref="C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E22:F22"/>
    <mergeCell ref="C23:D23"/>
    <mergeCell ref="E23:F23"/>
    <mergeCell ref="C24:D24"/>
    <mergeCell ref="E24:F24"/>
    <mergeCell ref="C64:F64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C61:D61"/>
    <mergeCell ref="E61:F61"/>
    <mergeCell ref="C62:D62"/>
    <mergeCell ref="E62:F62"/>
    <mergeCell ref="C42:D42"/>
    <mergeCell ref="E42:F42"/>
    <mergeCell ref="C43:D43"/>
    <mergeCell ref="E43:F43"/>
    <mergeCell ref="C63:F63"/>
    <mergeCell ref="C48:H48"/>
    <mergeCell ref="C44:D44"/>
    <mergeCell ref="E44:F44"/>
    <mergeCell ref="C45:D45"/>
    <mergeCell ref="E45:F45"/>
    <mergeCell ref="C49:D49"/>
    <mergeCell ref="E49:F49"/>
    <mergeCell ref="C46:F46"/>
    <mergeCell ref="C47:F47"/>
    <mergeCell ref="C50:D50"/>
    <mergeCell ref="E50:F50"/>
    <mergeCell ref="A3:J3"/>
    <mergeCell ref="A6:A11"/>
    <mergeCell ref="A2:J2"/>
    <mergeCell ref="A1:J1"/>
    <mergeCell ref="C41:D41"/>
    <mergeCell ref="E41:F41"/>
    <mergeCell ref="C17:F17"/>
    <mergeCell ref="C35:H35"/>
    <mergeCell ref="C18:H18"/>
    <mergeCell ref="C19:D19"/>
    <mergeCell ref="E19:F19"/>
    <mergeCell ref="C20:D20"/>
    <mergeCell ref="E20:F20"/>
    <mergeCell ref="C21:D21"/>
    <mergeCell ref="E21:F21"/>
    <mergeCell ref="C22:D22"/>
  </mergeCells>
  <printOptions horizontalCentered="1"/>
  <pageMargins left="0.31496062992126" right="0.31496062992126" top="0.55118110236220497" bottom="0.35433070866141703" header="0.31496062992126" footer="0.31496062992126"/>
  <pageSetup scale="66" orientation="portrait" r:id="rId1"/>
  <headerFooter alignWithMargins="0">
    <oddFooter xml:space="preserve">&amp;L&amp;P
&amp;RSEXTON WEST
April 4, 2025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0DA2-3977-4DED-B360-1CAF4D0FB4F0}">
  <sheetPr transitionEvaluation="1">
    <tabColor theme="9" tint="0.59999389629810485"/>
    <pageSetUpPr fitToPage="1"/>
  </sheetPr>
  <dimension ref="A1:HD49"/>
  <sheetViews>
    <sheetView defaultGridColor="0" view="pageBreakPreview" colorId="22" zoomScale="90" zoomScaleNormal="110" zoomScaleSheetLayoutView="90" workbookViewId="0">
      <selection activeCell="I6" sqref="I6"/>
    </sheetView>
  </sheetViews>
  <sheetFormatPr defaultColWidth="9" defaultRowHeight="15.5"/>
  <cols>
    <col min="1" max="1" width="4.84375" style="3" customWidth="1"/>
    <col min="2" max="3" width="10.4609375" style="4" customWidth="1"/>
    <col min="4" max="10" width="11.84375" style="3" customWidth="1"/>
    <col min="11" max="11" width="3.07421875" style="3" customWidth="1"/>
    <col min="12" max="12" width="9" style="34"/>
    <col min="13" max="13" width="9.4609375" style="3" bestFit="1" customWidth="1"/>
    <col min="14" max="14" width="11.23046875" style="3" bestFit="1" customWidth="1"/>
    <col min="15" max="16384" width="9" style="3"/>
  </cols>
  <sheetData>
    <row r="1" spans="1:212" ht="24" customHeight="1">
      <c r="A1" s="220" t="s">
        <v>14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212" ht="21.75" customHeight="1">
      <c r="A2" s="247" t="str">
        <f>'Moulded Panel'!A2</f>
        <v>NET PRICE LIST (April 4, 2025)</v>
      </c>
      <c r="B2" s="247"/>
      <c r="C2" s="247"/>
      <c r="D2" s="247"/>
      <c r="E2" s="247"/>
      <c r="F2" s="247"/>
      <c r="G2" s="247"/>
      <c r="H2" s="247"/>
      <c r="I2" s="247"/>
      <c r="J2" s="247"/>
    </row>
    <row r="3" spans="1:212" ht="30" customHeight="1">
      <c r="A3" s="246" t="str">
        <f>'Moulded Panel'!A3</f>
        <v>SEXTON WEST</v>
      </c>
      <c r="B3" s="246"/>
      <c r="C3" s="246"/>
      <c r="D3" s="246"/>
      <c r="E3" s="246"/>
      <c r="F3" s="246"/>
      <c r="G3" s="246"/>
      <c r="H3" s="246"/>
      <c r="I3" s="246"/>
      <c r="J3" s="246"/>
    </row>
    <row r="4" spans="1:212" ht="11.25" customHeight="1">
      <c r="D4" s="1"/>
      <c r="E4" s="2"/>
      <c r="F4" s="2"/>
      <c r="G4" s="2"/>
      <c r="H4" s="2"/>
      <c r="I4" s="1"/>
      <c r="J4" s="1"/>
    </row>
    <row r="5" spans="1:212" ht="13.5" customHeight="1">
      <c r="D5" s="11"/>
      <c r="E5" s="11"/>
      <c r="F5" s="11"/>
      <c r="G5" s="11"/>
      <c r="H5" s="11"/>
      <c r="I5" s="12"/>
      <c r="J5" s="9"/>
    </row>
    <row r="6" spans="1:212" ht="20.25" customHeight="1">
      <c r="A6" s="218" t="s">
        <v>51</v>
      </c>
      <c r="B6" s="218"/>
      <c r="C6" s="122"/>
      <c r="D6" s="1"/>
      <c r="E6" s="1"/>
      <c r="F6" s="1"/>
      <c r="G6" s="1"/>
      <c r="H6" s="1"/>
      <c r="I6" s="1"/>
    </row>
    <row r="7" spans="1:212" ht="20.25" customHeight="1">
      <c r="A7" s="218"/>
      <c r="B7" s="218"/>
      <c r="C7" s="122"/>
      <c r="D7" s="1"/>
      <c r="E7" s="1"/>
      <c r="F7" s="1"/>
      <c r="G7" s="1"/>
      <c r="H7" s="1"/>
      <c r="I7" s="1"/>
    </row>
    <row r="8" spans="1:212" ht="15.75" customHeight="1">
      <c r="A8" s="218"/>
      <c r="B8" s="218"/>
      <c r="C8" s="122"/>
      <c r="D8" s="1"/>
      <c r="E8" s="1"/>
      <c r="F8" s="1"/>
      <c r="G8" s="1"/>
      <c r="H8" s="1"/>
      <c r="I8" s="1"/>
    </row>
    <row r="9" spans="1:212" ht="15.75" customHeight="1">
      <c r="A9" s="218"/>
      <c r="B9" s="218"/>
      <c r="C9" s="122"/>
      <c r="D9" s="1"/>
      <c r="E9" s="1"/>
      <c r="F9" s="1"/>
      <c r="G9" s="1"/>
      <c r="H9" s="1"/>
      <c r="I9" s="1"/>
    </row>
    <row r="10" spans="1:212" ht="20.25" customHeight="1">
      <c r="A10" s="218"/>
      <c r="B10" s="218"/>
      <c r="C10" s="122"/>
      <c r="D10" s="1"/>
      <c r="E10" s="1"/>
      <c r="F10" s="1"/>
      <c r="G10" s="1"/>
      <c r="H10" s="1"/>
      <c r="I10" s="1"/>
    </row>
    <row r="11" spans="1:212" ht="20.25" customHeight="1">
      <c r="A11" s="218"/>
      <c r="B11" s="218"/>
      <c r="C11" s="122"/>
      <c r="D11" s="1"/>
      <c r="E11" s="1"/>
      <c r="F11" s="1"/>
      <c r="G11" s="1"/>
      <c r="H11" s="1"/>
      <c r="I11" s="1"/>
    </row>
    <row r="12" spans="1:212" ht="9" customHeight="1" thickBot="1">
      <c r="A12" s="4"/>
      <c r="D12" s="5"/>
      <c r="E12" s="6"/>
      <c r="F12" s="6"/>
      <c r="G12" s="6"/>
      <c r="H12" s="6"/>
      <c r="I12" s="7"/>
    </row>
    <row r="13" spans="1:212" ht="38.25" customHeight="1" thickTop="1" thickBot="1">
      <c r="B13" s="16"/>
      <c r="C13" s="17" t="s">
        <v>7</v>
      </c>
      <c r="D13" s="41" t="s">
        <v>107</v>
      </c>
      <c r="E13" s="15" t="s">
        <v>5</v>
      </c>
      <c r="F13" s="15" t="s">
        <v>6</v>
      </c>
      <c r="G13" s="15" t="s">
        <v>4</v>
      </c>
      <c r="H13" s="41" t="s">
        <v>8</v>
      </c>
      <c r="K13" s="13"/>
      <c r="L13" s="3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</row>
    <row r="14" spans="1:212" ht="16.5" thickTop="1" thickBot="1">
      <c r="B14" s="20" t="s">
        <v>9</v>
      </c>
      <c r="C14" s="19" t="s">
        <v>12</v>
      </c>
      <c r="D14" s="19" t="s">
        <v>13</v>
      </c>
      <c r="E14" s="19" t="s">
        <v>12</v>
      </c>
      <c r="F14" s="19" t="s">
        <v>12</v>
      </c>
      <c r="G14" s="19" t="s">
        <v>11</v>
      </c>
      <c r="H14" s="19" t="s">
        <v>12</v>
      </c>
      <c r="K14" s="13"/>
      <c r="L14" s="3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</row>
    <row r="15" spans="1:212" ht="16.5" thickTop="1" thickBot="1">
      <c r="B15" s="20" t="s">
        <v>10</v>
      </c>
      <c r="C15" s="19" t="s">
        <v>12</v>
      </c>
      <c r="D15" s="19" t="s">
        <v>49</v>
      </c>
      <c r="E15" s="19" t="s">
        <v>12</v>
      </c>
      <c r="F15" s="19" t="s">
        <v>12</v>
      </c>
      <c r="G15" s="51" t="s">
        <v>11</v>
      </c>
      <c r="H15" s="19" t="s">
        <v>12</v>
      </c>
      <c r="K15" s="13"/>
      <c r="L15" s="3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</row>
    <row r="16" spans="1:212" ht="16.5" customHeight="1" thickTop="1" thickBot="1">
      <c r="B16" s="8"/>
      <c r="C16" s="8"/>
      <c r="D16" s="10"/>
      <c r="E16" s="10"/>
      <c r="F16" s="11"/>
      <c r="G16" s="10"/>
      <c r="H16" s="10"/>
      <c r="I16" s="10"/>
      <c r="J16" s="10"/>
      <c r="K16" s="13"/>
      <c r="L16" s="3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</row>
    <row r="17" spans="3:212" ht="36" customHeight="1" thickTop="1" thickBot="1">
      <c r="C17" s="225" t="s">
        <v>3</v>
      </c>
      <c r="D17" s="226"/>
      <c r="E17" s="226"/>
      <c r="F17" s="227"/>
      <c r="G17" s="40" t="s">
        <v>105</v>
      </c>
      <c r="H17" s="40" t="s">
        <v>54</v>
      </c>
      <c r="J17" s="30"/>
      <c r="K17" s="13"/>
      <c r="L17" s="3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</row>
    <row r="18" spans="3:212" ht="30" customHeight="1" thickTop="1" thickBot="1">
      <c r="C18" s="229" t="s">
        <v>2</v>
      </c>
      <c r="D18" s="229"/>
      <c r="E18" s="229"/>
      <c r="F18" s="229"/>
      <c r="G18" s="229"/>
      <c r="H18" s="229"/>
      <c r="J18" s="21"/>
      <c r="K18" s="13"/>
      <c r="L18" s="3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</row>
    <row r="19" spans="3:212">
      <c r="C19" s="230" t="s">
        <v>30</v>
      </c>
      <c r="D19" s="231"/>
      <c r="E19" s="232" t="s">
        <v>31</v>
      </c>
      <c r="F19" s="232"/>
      <c r="G19" s="133">
        <v>104.3</v>
      </c>
      <c r="H19" s="133">
        <v>90.2</v>
      </c>
      <c r="I19" s="130"/>
      <c r="J19" s="29"/>
      <c r="K19" s="13"/>
      <c r="L19" s="140">
        <f t="shared" ref="L19:L32" si="0">H19/G19</f>
        <v>0.86481303930968367</v>
      </c>
      <c r="M19" s="4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</row>
    <row r="20" spans="3:212">
      <c r="C20" s="233" t="s">
        <v>32</v>
      </c>
      <c r="D20" s="234"/>
      <c r="E20" s="235" t="s">
        <v>39</v>
      </c>
      <c r="F20" s="235"/>
      <c r="G20" s="134">
        <v>104.3</v>
      </c>
      <c r="H20" s="134">
        <v>90.2</v>
      </c>
      <c r="I20" s="130"/>
      <c r="J20" s="29"/>
      <c r="K20" s="13"/>
      <c r="L20" s="140">
        <f t="shared" si="0"/>
        <v>0.86481303930968367</v>
      </c>
      <c r="M20" s="4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</row>
    <row r="21" spans="3:212">
      <c r="C21" s="233" t="s">
        <v>33</v>
      </c>
      <c r="D21" s="234"/>
      <c r="E21" s="235" t="s">
        <v>40</v>
      </c>
      <c r="F21" s="235"/>
      <c r="G21" s="134">
        <v>104.3</v>
      </c>
      <c r="H21" s="134">
        <v>90.2</v>
      </c>
      <c r="I21" s="130"/>
      <c r="J21" s="29"/>
      <c r="K21" s="13"/>
      <c r="L21" s="140">
        <f t="shared" si="0"/>
        <v>0.86481303930968367</v>
      </c>
      <c r="M21" s="4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</row>
    <row r="22" spans="3:212">
      <c r="C22" s="233" t="s">
        <v>28</v>
      </c>
      <c r="D22" s="234"/>
      <c r="E22" s="235" t="s">
        <v>29</v>
      </c>
      <c r="F22" s="235"/>
      <c r="G22" s="134">
        <v>104.3</v>
      </c>
      <c r="H22" s="134">
        <v>90.2</v>
      </c>
      <c r="I22" s="130"/>
      <c r="J22" s="29"/>
      <c r="K22" s="13"/>
      <c r="L22" s="140">
        <f t="shared" si="0"/>
        <v>0.86481303930968367</v>
      </c>
      <c r="M22" s="4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</row>
    <row r="23" spans="3:212">
      <c r="C23" s="233" t="s">
        <v>34</v>
      </c>
      <c r="D23" s="234"/>
      <c r="E23" s="235" t="s">
        <v>41</v>
      </c>
      <c r="F23" s="235"/>
      <c r="G23" s="134">
        <v>108.15</v>
      </c>
      <c r="H23" s="134">
        <v>93.550000000000011</v>
      </c>
      <c r="I23" s="130"/>
      <c r="J23" s="29"/>
      <c r="K23" s="13"/>
      <c r="L23" s="140">
        <f t="shared" si="0"/>
        <v>0.86500231160425345</v>
      </c>
      <c r="M23" s="4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</row>
    <row r="24" spans="3:212">
      <c r="C24" s="233" t="s">
        <v>35</v>
      </c>
      <c r="D24" s="234"/>
      <c r="E24" s="235" t="s">
        <v>42</v>
      </c>
      <c r="F24" s="235"/>
      <c r="G24" s="134">
        <v>108.15</v>
      </c>
      <c r="H24" s="134">
        <v>93.550000000000011</v>
      </c>
      <c r="I24" s="130"/>
      <c r="J24" s="29"/>
      <c r="K24" s="13"/>
      <c r="L24" s="140">
        <f t="shared" si="0"/>
        <v>0.86500231160425345</v>
      </c>
      <c r="M24" s="4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</row>
    <row r="25" spans="3:212">
      <c r="C25" s="233" t="s">
        <v>20</v>
      </c>
      <c r="D25" s="234"/>
      <c r="E25" s="235" t="s">
        <v>43</v>
      </c>
      <c r="F25" s="235"/>
      <c r="G25" s="134">
        <v>108.15</v>
      </c>
      <c r="H25" s="134">
        <v>93.550000000000011</v>
      </c>
      <c r="I25" s="130"/>
      <c r="J25" s="29"/>
      <c r="K25" s="13"/>
      <c r="L25" s="140">
        <f t="shared" si="0"/>
        <v>0.86500231160425345</v>
      </c>
      <c r="M25" s="4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</row>
    <row r="26" spans="3:212" s="32" customFormat="1">
      <c r="C26" s="233" t="s">
        <v>36</v>
      </c>
      <c r="D26" s="234"/>
      <c r="E26" s="235" t="s">
        <v>44</v>
      </c>
      <c r="F26" s="235"/>
      <c r="G26" s="134">
        <v>111</v>
      </c>
      <c r="H26" s="134">
        <v>96</v>
      </c>
      <c r="I26" s="130"/>
      <c r="J26" s="29"/>
      <c r="K26" s="13"/>
      <c r="L26" s="140">
        <f t="shared" si="0"/>
        <v>0.86486486486486491</v>
      </c>
      <c r="M26" s="44"/>
      <c r="N26" s="13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</row>
    <row r="27" spans="3:212" s="32" customFormat="1">
      <c r="C27" s="233" t="s">
        <v>37</v>
      </c>
      <c r="D27" s="234"/>
      <c r="E27" s="235" t="s">
        <v>45</v>
      </c>
      <c r="F27" s="235"/>
      <c r="G27" s="134">
        <v>111</v>
      </c>
      <c r="H27" s="134">
        <v>96</v>
      </c>
      <c r="I27" s="130"/>
      <c r="J27" s="29"/>
      <c r="K27" s="13"/>
      <c r="L27" s="140">
        <f t="shared" si="0"/>
        <v>0.86486486486486491</v>
      </c>
      <c r="M27" s="44"/>
      <c r="N27" s="13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</row>
    <row r="28" spans="3:212" ht="15.75" customHeight="1">
      <c r="C28" s="233" t="s">
        <v>21</v>
      </c>
      <c r="D28" s="234"/>
      <c r="E28" s="235" t="s">
        <v>46</v>
      </c>
      <c r="F28" s="235"/>
      <c r="G28" s="134">
        <v>111</v>
      </c>
      <c r="H28" s="134">
        <v>96</v>
      </c>
      <c r="I28" s="130"/>
      <c r="J28" s="29"/>
      <c r="K28" s="13"/>
      <c r="L28" s="140">
        <f t="shared" si="0"/>
        <v>0.86486486486486491</v>
      </c>
      <c r="M28" s="4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</row>
    <row r="29" spans="3:212">
      <c r="C29" s="233" t="s">
        <v>22</v>
      </c>
      <c r="D29" s="234"/>
      <c r="E29" s="235" t="s">
        <v>27</v>
      </c>
      <c r="F29" s="235"/>
      <c r="G29" s="134">
        <v>113.8</v>
      </c>
      <c r="H29" s="134">
        <v>98.45</v>
      </c>
      <c r="I29" s="130"/>
      <c r="J29" s="29"/>
      <c r="K29" s="13"/>
      <c r="L29" s="140">
        <f t="shared" si="0"/>
        <v>0.86511423550087874</v>
      </c>
      <c r="M29" s="4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</row>
    <row r="30" spans="3:212">
      <c r="C30" s="233" t="s">
        <v>38</v>
      </c>
      <c r="D30" s="234"/>
      <c r="E30" s="235" t="s">
        <v>47</v>
      </c>
      <c r="F30" s="235"/>
      <c r="G30" s="134">
        <v>117.8</v>
      </c>
      <c r="H30" s="134">
        <v>101.9</v>
      </c>
      <c r="I30" s="130"/>
      <c r="J30" s="29"/>
      <c r="K30" s="13"/>
      <c r="L30" s="140">
        <f t="shared" si="0"/>
        <v>0.86502546689303916</v>
      </c>
      <c r="M30" s="44"/>
      <c r="N30" s="13"/>
    </row>
    <row r="31" spans="3:212" ht="16.149999999999999" customHeight="1">
      <c r="C31" s="233" t="s">
        <v>24</v>
      </c>
      <c r="D31" s="234"/>
      <c r="E31" s="235" t="s">
        <v>25</v>
      </c>
      <c r="F31" s="235"/>
      <c r="G31" s="134">
        <v>117.8</v>
      </c>
      <c r="H31" s="134">
        <v>101.9</v>
      </c>
      <c r="I31" s="130"/>
      <c r="J31" s="29"/>
      <c r="K31" s="13"/>
      <c r="L31" s="140">
        <f t="shared" si="0"/>
        <v>0.86502546689303916</v>
      </c>
      <c r="M31" s="44"/>
      <c r="N31" s="13"/>
    </row>
    <row r="32" spans="3:212" ht="16.149999999999999" customHeight="1" thickBot="1">
      <c r="C32" s="239" t="s">
        <v>59</v>
      </c>
      <c r="D32" s="240"/>
      <c r="E32" s="240"/>
      <c r="F32" s="241"/>
      <c r="G32" s="135">
        <v>4.75</v>
      </c>
      <c r="H32" s="135">
        <v>4.0999999999999996</v>
      </c>
      <c r="J32" s="29"/>
      <c r="K32" s="13"/>
      <c r="L32" s="140">
        <f t="shared" si="0"/>
        <v>0.86315789473684201</v>
      </c>
      <c r="M32" s="44"/>
      <c r="N32" s="13">
        <v>4.75</v>
      </c>
      <c r="O32" s="3">
        <f>N32*0.865</f>
        <v>4.1087499999999997</v>
      </c>
    </row>
    <row r="33" spans="3:14" ht="30.75" customHeight="1" thickBot="1">
      <c r="C33" s="228" t="s">
        <v>1</v>
      </c>
      <c r="D33" s="228"/>
      <c r="E33" s="228"/>
      <c r="F33" s="228"/>
      <c r="G33" s="228"/>
      <c r="H33" s="228"/>
      <c r="J33" s="25"/>
      <c r="L33" s="43"/>
      <c r="M33" s="44"/>
    </row>
    <row r="34" spans="3:14" ht="15" customHeight="1">
      <c r="C34" s="230" t="s">
        <v>30</v>
      </c>
      <c r="D34" s="231"/>
      <c r="E34" s="232" t="s">
        <v>31</v>
      </c>
      <c r="F34" s="232"/>
      <c r="G34" s="133">
        <v>199.7</v>
      </c>
      <c r="H34" s="133">
        <v>172.75</v>
      </c>
      <c r="J34" s="29"/>
      <c r="L34" s="140">
        <f t="shared" ref="L34:L49" si="1">H34/G34</f>
        <v>0.86504757135703558</v>
      </c>
      <c r="M34" s="44"/>
    </row>
    <row r="35" spans="3:14" ht="15" customHeight="1">
      <c r="C35" s="233" t="s">
        <v>32</v>
      </c>
      <c r="D35" s="234"/>
      <c r="E35" s="235" t="s">
        <v>39</v>
      </c>
      <c r="F35" s="235"/>
      <c r="G35" s="134">
        <v>199.7</v>
      </c>
      <c r="H35" s="134">
        <v>172.75</v>
      </c>
      <c r="J35" s="29"/>
      <c r="L35" s="140">
        <f t="shared" si="1"/>
        <v>0.86504757135703558</v>
      </c>
      <c r="M35" s="44"/>
    </row>
    <row r="36" spans="3:14" ht="15" customHeight="1">
      <c r="C36" s="233" t="s">
        <v>33</v>
      </c>
      <c r="D36" s="234"/>
      <c r="E36" s="235" t="s">
        <v>40</v>
      </c>
      <c r="F36" s="235"/>
      <c r="G36" s="134">
        <v>199.7</v>
      </c>
      <c r="H36" s="134">
        <v>172.75</v>
      </c>
      <c r="J36" s="29"/>
      <c r="L36" s="140">
        <f t="shared" si="1"/>
        <v>0.86504757135703558</v>
      </c>
      <c r="M36" s="44"/>
    </row>
    <row r="37" spans="3:14" ht="15" customHeight="1">
      <c r="C37" s="233" t="s">
        <v>28</v>
      </c>
      <c r="D37" s="234"/>
      <c r="E37" s="235" t="s">
        <v>29</v>
      </c>
      <c r="F37" s="235"/>
      <c r="G37" s="134">
        <v>199.7</v>
      </c>
      <c r="H37" s="134">
        <v>172.75</v>
      </c>
      <c r="J37" s="29"/>
      <c r="L37" s="140">
        <f t="shared" si="1"/>
        <v>0.86504757135703558</v>
      </c>
      <c r="M37" s="44"/>
    </row>
    <row r="38" spans="3:14" ht="15" customHeight="1">
      <c r="C38" s="233" t="s">
        <v>34</v>
      </c>
      <c r="D38" s="234"/>
      <c r="E38" s="235" t="s">
        <v>41</v>
      </c>
      <c r="F38" s="235"/>
      <c r="G38" s="134">
        <v>203.55</v>
      </c>
      <c r="H38" s="134">
        <v>176.05</v>
      </c>
      <c r="J38" s="29"/>
      <c r="L38" s="140">
        <f t="shared" si="1"/>
        <v>0.86489805944485387</v>
      </c>
      <c r="M38" s="44"/>
    </row>
    <row r="39" spans="3:14" ht="15" customHeight="1">
      <c r="C39" s="233" t="s">
        <v>35</v>
      </c>
      <c r="D39" s="234"/>
      <c r="E39" s="235" t="s">
        <v>42</v>
      </c>
      <c r="F39" s="235"/>
      <c r="G39" s="134">
        <v>203.55</v>
      </c>
      <c r="H39" s="134">
        <v>176.05</v>
      </c>
      <c r="J39" s="29"/>
      <c r="L39" s="140">
        <f t="shared" si="1"/>
        <v>0.86489805944485387</v>
      </c>
      <c r="M39" s="44"/>
    </row>
    <row r="40" spans="3:14" ht="15" customHeight="1">
      <c r="C40" s="233" t="s">
        <v>20</v>
      </c>
      <c r="D40" s="234"/>
      <c r="E40" s="235" t="s">
        <v>43</v>
      </c>
      <c r="F40" s="235"/>
      <c r="G40" s="134">
        <v>203.55</v>
      </c>
      <c r="H40" s="134">
        <v>176.05</v>
      </c>
      <c r="J40" s="29"/>
      <c r="L40" s="140">
        <f t="shared" si="1"/>
        <v>0.86489805944485387</v>
      </c>
      <c r="M40" s="44"/>
    </row>
    <row r="41" spans="3:14" ht="15" customHeight="1">
      <c r="C41" s="233" t="s">
        <v>36</v>
      </c>
      <c r="D41" s="234"/>
      <c r="E41" s="235" t="s">
        <v>44</v>
      </c>
      <c r="F41" s="235"/>
      <c r="G41" s="134">
        <v>206.4</v>
      </c>
      <c r="H41" s="134">
        <v>178.55</v>
      </c>
      <c r="J41" s="29"/>
      <c r="L41" s="140">
        <f t="shared" si="1"/>
        <v>0.86506782945736438</v>
      </c>
      <c r="M41" s="44"/>
    </row>
    <row r="42" spans="3:14" ht="15" customHeight="1">
      <c r="C42" s="233" t="s">
        <v>37</v>
      </c>
      <c r="D42" s="234"/>
      <c r="E42" s="235" t="s">
        <v>45</v>
      </c>
      <c r="F42" s="235"/>
      <c r="G42" s="134">
        <v>206.4</v>
      </c>
      <c r="H42" s="134">
        <v>178.55</v>
      </c>
      <c r="J42" s="29"/>
      <c r="L42" s="140">
        <f t="shared" si="1"/>
        <v>0.86506782945736438</v>
      </c>
      <c r="M42" s="44"/>
    </row>
    <row r="43" spans="3:14">
      <c r="C43" s="233" t="s">
        <v>21</v>
      </c>
      <c r="D43" s="234"/>
      <c r="E43" s="235" t="s">
        <v>46</v>
      </c>
      <c r="F43" s="235"/>
      <c r="G43" s="134">
        <v>206.4</v>
      </c>
      <c r="H43" s="134">
        <v>178.55</v>
      </c>
      <c r="J43" s="29"/>
      <c r="L43" s="140">
        <f t="shared" si="1"/>
        <v>0.86506782945736438</v>
      </c>
      <c r="M43" s="44"/>
    </row>
    <row r="44" spans="3:14">
      <c r="C44" s="233" t="s">
        <v>22</v>
      </c>
      <c r="D44" s="234"/>
      <c r="E44" s="235" t="s">
        <v>27</v>
      </c>
      <c r="F44" s="235"/>
      <c r="G44" s="134">
        <v>209.2</v>
      </c>
      <c r="H44" s="134">
        <v>180.95000000000002</v>
      </c>
      <c r="J44" s="29"/>
      <c r="L44" s="140">
        <f t="shared" si="1"/>
        <v>0.86496175908221806</v>
      </c>
      <c r="M44" s="44"/>
    </row>
    <row r="45" spans="3:14">
      <c r="C45" s="233" t="s">
        <v>38</v>
      </c>
      <c r="D45" s="234"/>
      <c r="E45" s="235" t="s">
        <v>47</v>
      </c>
      <c r="F45" s="235"/>
      <c r="G45" s="134">
        <v>213.2</v>
      </c>
      <c r="H45" s="134">
        <v>184.4</v>
      </c>
      <c r="J45" s="29"/>
      <c r="L45" s="140">
        <f t="shared" si="1"/>
        <v>0.86491557223264548</v>
      </c>
      <c r="M45" s="44"/>
    </row>
    <row r="46" spans="3:14">
      <c r="C46" s="233" t="s">
        <v>24</v>
      </c>
      <c r="D46" s="234"/>
      <c r="E46" s="235" t="s">
        <v>25</v>
      </c>
      <c r="F46" s="235"/>
      <c r="G46" s="134">
        <v>213.2</v>
      </c>
      <c r="H46" s="134">
        <v>184.4</v>
      </c>
      <c r="J46" s="29"/>
      <c r="L46" s="140">
        <f t="shared" si="1"/>
        <v>0.86491557223264548</v>
      </c>
      <c r="M46" s="44"/>
    </row>
    <row r="47" spans="3:14" ht="16.149999999999999" customHeight="1">
      <c r="C47" s="233" t="s">
        <v>55</v>
      </c>
      <c r="D47" s="234"/>
      <c r="E47" s="235" t="s">
        <v>57</v>
      </c>
      <c r="F47" s="235"/>
      <c r="G47" s="134">
        <v>246.25</v>
      </c>
      <c r="H47" s="134">
        <v>213</v>
      </c>
      <c r="J47" s="29"/>
      <c r="L47" s="140">
        <f t="shared" si="1"/>
        <v>0.86497461928934005</v>
      </c>
      <c r="M47" s="44"/>
    </row>
    <row r="48" spans="3:14">
      <c r="C48" s="236" t="s">
        <v>59</v>
      </c>
      <c r="D48" s="237"/>
      <c r="E48" s="237"/>
      <c r="F48" s="238"/>
      <c r="G48" s="134">
        <v>13.8</v>
      </c>
      <c r="H48" s="134">
        <v>11.950000000000001</v>
      </c>
      <c r="L48" s="140">
        <f t="shared" si="1"/>
        <v>0.86594202898550732</v>
      </c>
      <c r="M48" s="3">
        <v>13.8</v>
      </c>
      <c r="N48" s="3">
        <f>M48*0.865</f>
        <v>11.937000000000001</v>
      </c>
    </row>
    <row r="49" spans="3:14" ht="16" thickBot="1">
      <c r="C49" s="239" t="s">
        <v>60</v>
      </c>
      <c r="D49" s="240"/>
      <c r="E49" s="240"/>
      <c r="F49" s="241"/>
      <c r="G49" s="135">
        <v>102.80000000000001</v>
      </c>
      <c r="H49" s="135">
        <v>88.9</v>
      </c>
      <c r="L49" s="140">
        <f t="shared" si="1"/>
        <v>0.86478599221789876</v>
      </c>
      <c r="M49" s="3">
        <v>102.8</v>
      </c>
      <c r="N49" s="3">
        <f>M49*0.865</f>
        <v>88.921999999999997</v>
      </c>
    </row>
  </sheetData>
  <mergeCells count="65">
    <mergeCell ref="C49:F49"/>
    <mergeCell ref="C18:H18"/>
    <mergeCell ref="C33:H33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40:F40"/>
    <mergeCell ref="C48:F48"/>
    <mergeCell ref="E36:F36"/>
    <mergeCell ref="C37:D37"/>
    <mergeCell ref="E37:F37"/>
    <mergeCell ref="C38:D38"/>
    <mergeCell ref="E38:F38"/>
    <mergeCell ref="C41:D41"/>
    <mergeCell ref="E41:F41"/>
    <mergeCell ref="C31:D31"/>
    <mergeCell ref="E31:F31"/>
    <mergeCell ref="C32:F32"/>
    <mergeCell ref="C27:D27"/>
    <mergeCell ref="E27:F27"/>
    <mergeCell ref="C28:D28"/>
    <mergeCell ref="E28:F28"/>
    <mergeCell ref="C29:D29"/>
    <mergeCell ref="E29:F29"/>
    <mergeCell ref="C34:D34"/>
    <mergeCell ref="E39:F39"/>
    <mergeCell ref="C40:D40"/>
    <mergeCell ref="E19:F19"/>
    <mergeCell ref="C20:D20"/>
    <mergeCell ref="E20:F20"/>
    <mergeCell ref="E25:F25"/>
    <mergeCell ref="E34:F34"/>
    <mergeCell ref="C35:D35"/>
    <mergeCell ref="E35:F35"/>
    <mergeCell ref="C36:D36"/>
    <mergeCell ref="C25:D25"/>
    <mergeCell ref="C26:D26"/>
    <mergeCell ref="E26:F26"/>
    <mergeCell ref="C30:D30"/>
    <mergeCell ref="E30:F30"/>
    <mergeCell ref="C17:F17"/>
    <mergeCell ref="C24:D24"/>
    <mergeCell ref="E24:F24"/>
    <mergeCell ref="C23:D23"/>
    <mergeCell ref="E23:F23"/>
    <mergeCell ref="C19:D19"/>
    <mergeCell ref="C21:D21"/>
    <mergeCell ref="E21:F21"/>
    <mergeCell ref="C22:D22"/>
    <mergeCell ref="E22:F22"/>
    <mergeCell ref="A1:J1"/>
    <mergeCell ref="B6:B11"/>
    <mergeCell ref="A3:J3"/>
    <mergeCell ref="A2:J2"/>
    <mergeCell ref="A6:A11"/>
  </mergeCells>
  <printOptions horizontalCentered="1"/>
  <pageMargins left="0.31496062992126" right="0.31496062992126" top="0.55118110236220497" bottom="0.35433070866141703" header="0.31496062992126" footer="0.31496062992126"/>
  <pageSetup scale="78" orientation="portrait" r:id="rId1"/>
  <headerFooter alignWithMargins="0">
    <oddFooter>&amp;L&amp;P
&amp;RSEXTON WEST
April 4, 2025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0059-884D-4350-8CDE-4512118DCF08}">
  <sheetPr transitionEvaluation="1">
    <tabColor theme="9" tint="0.59999389629810485"/>
    <pageSetUpPr fitToPage="1"/>
  </sheetPr>
  <dimension ref="A1:HC50"/>
  <sheetViews>
    <sheetView defaultGridColor="0" view="pageBreakPreview" colorId="22" zoomScale="90" zoomScaleNormal="110" zoomScaleSheetLayoutView="90" workbookViewId="0">
      <selection activeCell="H8" sqref="H8"/>
    </sheetView>
  </sheetViews>
  <sheetFormatPr defaultColWidth="9" defaultRowHeight="15.5"/>
  <cols>
    <col min="1" max="1" width="4.84375" style="3" customWidth="1"/>
    <col min="2" max="2" width="10.4609375" style="4" customWidth="1"/>
    <col min="3" max="9" width="11.84375" style="3" customWidth="1"/>
    <col min="10" max="10" width="3.07421875" style="3" customWidth="1"/>
    <col min="11" max="11" width="9" style="34"/>
    <col min="12" max="12" width="9.4609375" style="3" bestFit="1" customWidth="1"/>
    <col min="13" max="13" width="11.23046875" style="3" bestFit="1" customWidth="1"/>
    <col min="14" max="16384" width="9" style="3"/>
  </cols>
  <sheetData>
    <row r="1" spans="1:211" ht="24" customHeight="1">
      <c r="A1" s="220" t="s">
        <v>14</v>
      </c>
      <c r="B1" s="220"/>
      <c r="C1" s="220"/>
      <c r="D1" s="220"/>
      <c r="E1" s="220"/>
      <c r="F1" s="220"/>
      <c r="G1" s="220"/>
      <c r="H1" s="220"/>
      <c r="I1" s="220"/>
    </row>
    <row r="2" spans="1:211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  <c r="H2" s="219"/>
      <c r="I2" s="219"/>
    </row>
    <row r="3" spans="1:211" ht="30" customHeight="1">
      <c r="A3" s="246" t="str">
        <f>'Moulded Panel'!A3</f>
        <v>SEXTON WEST</v>
      </c>
      <c r="B3" s="246"/>
      <c r="C3" s="246"/>
      <c r="D3" s="246"/>
      <c r="E3" s="246"/>
      <c r="F3" s="246"/>
      <c r="G3" s="246"/>
      <c r="H3" s="246"/>
      <c r="I3" s="246"/>
    </row>
    <row r="4" spans="1:211" ht="11.25" customHeight="1">
      <c r="C4" s="1"/>
      <c r="D4" s="2"/>
      <c r="E4" s="2"/>
      <c r="F4" s="2"/>
      <c r="G4" s="2"/>
      <c r="H4" s="1"/>
      <c r="I4" s="1"/>
    </row>
    <row r="5" spans="1:211" ht="13.5" customHeight="1">
      <c r="C5" s="11"/>
      <c r="D5" s="11"/>
      <c r="E5" s="11"/>
      <c r="F5" s="11"/>
      <c r="G5" s="11"/>
      <c r="H5" s="12"/>
      <c r="I5" s="9"/>
    </row>
    <row r="6" spans="1:211" ht="20.25" customHeight="1">
      <c r="A6" s="218" t="s">
        <v>51</v>
      </c>
      <c r="B6" s="218"/>
      <c r="C6" s="1"/>
      <c r="D6" s="1"/>
      <c r="E6" s="1"/>
      <c r="F6" s="1"/>
      <c r="G6" s="1"/>
      <c r="H6" s="1"/>
    </row>
    <row r="7" spans="1:211" ht="20.25" customHeight="1">
      <c r="A7" s="218"/>
      <c r="B7" s="218"/>
      <c r="C7" s="1"/>
      <c r="D7" s="1"/>
      <c r="E7" s="1"/>
      <c r="F7" s="1"/>
      <c r="G7" s="1"/>
      <c r="H7" s="1"/>
    </row>
    <row r="8" spans="1:211" ht="15.75" customHeight="1">
      <c r="A8" s="218"/>
      <c r="B8" s="218"/>
      <c r="C8" s="1"/>
      <c r="D8" s="1"/>
      <c r="E8" s="1"/>
      <c r="F8" s="1"/>
      <c r="G8" s="1"/>
      <c r="H8" s="1"/>
    </row>
    <row r="9" spans="1:211" ht="15.75" customHeight="1">
      <c r="A9" s="218"/>
      <c r="B9" s="218"/>
      <c r="C9" s="1"/>
      <c r="D9" s="1"/>
      <c r="E9" s="1"/>
      <c r="F9" s="1"/>
      <c r="G9" s="1"/>
      <c r="H9" s="1"/>
    </row>
    <row r="10" spans="1:211" ht="20.25" customHeight="1">
      <c r="A10" s="218"/>
      <c r="B10" s="218"/>
      <c r="C10" s="1"/>
      <c r="D10" s="1"/>
      <c r="E10" s="1"/>
      <c r="F10" s="1"/>
      <c r="G10" s="1"/>
      <c r="H10" s="1"/>
    </row>
    <row r="11" spans="1:211" ht="20.25" customHeight="1">
      <c r="A11" s="218"/>
      <c r="B11" s="218"/>
      <c r="C11" s="1"/>
      <c r="D11" s="1"/>
      <c r="E11" s="1"/>
      <c r="F11" s="1"/>
      <c r="G11" s="1"/>
      <c r="H11" s="1"/>
    </row>
    <row r="12" spans="1:211" ht="9" customHeight="1" thickBot="1">
      <c r="A12" s="4"/>
      <c r="C12" s="5"/>
      <c r="D12" s="6"/>
      <c r="E12" s="6"/>
      <c r="F12" s="6"/>
      <c r="G12" s="6"/>
      <c r="H12" s="7"/>
    </row>
    <row r="13" spans="1:211" ht="38.25" customHeight="1" thickTop="1" thickBot="1">
      <c r="B13" s="16"/>
      <c r="C13" s="17" t="s">
        <v>7</v>
      </c>
      <c r="D13" s="15" t="s">
        <v>5</v>
      </c>
      <c r="E13" s="15" t="s">
        <v>6</v>
      </c>
      <c r="F13" s="15" t="s">
        <v>4</v>
      </c>
      <c r="G13" s="41" t="s">
        <v>8</v>
      </c>
      <c r="J13" s="13"/>
      <c r="K13" s="3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</row>
    <row r="14" spans="1:211" ht="16.5" thickTop="1" thickBot="1">
      <c r="B14" s="20" t="s">
        <v>9</v>
      </c>
      <c r="C14" s="19" t="s">
        <v>12</v>
      </c>
      <c r="D14" s="19" t="s">
        <v>12</v>
      </c>
      <c r="E14" s="19" t="s">
        <v>12</v>
      </c>
      <c r="F14" s="19" t="s">
        <v>11</v>
      </c>
      <c r="G14" s="19" t="s">
        <v>12</v>
      </c>
      <c r="J14" s="13"/>
      <c r="K14" s="3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</row>
    <row r="15" spans="1:211" ht="16.5" thickTop="1" thickBot="1">
      <c r="B15" s="20" t="s">
        <v>10</v>
      </c>
      <c r="C15" s="19" t="s">
        <v>12</v>
      </c>
      <c r="D15" s="19" t="s">
        <v>12</v>
      </c>
      <c r="E15" s="19" t="s">
        <v>12</v>
      </c>
      <c r="F15" s="51" t="s">
        <v>11</v>
      </c>
      <c r="G15" s="19" t="s">
        <v>12</v>
      </c>
      <c r="J15" s="13"/>
      <c r="K15" s="3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</row>
    <row r="16" spans="1:211" ht="16.5" customHeight="1" thickTop="1" thickBot="1">
      <c r="B16" s="8"/>
      <c r="C16" s="10"/>
      <c r="D16" s="10"/>
      <c r="E16" s="11"/>
      <c r="F16" s="10"/>
      <c r="G16" s="10"/>
      <c r="H16" s="10"/>
      <c r="I16" s="10"/>
      <c r="J16" s="13"/>
      <c r="K16" s="3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</row>
    <row r="17" spans="3:211" ht="36" customHeight="1" thickTop="1" thickBot="1">
      <c r="C17" s="225" t="s">
        <v>3</v>
      </c>
      <c r="D17" s="226"/>
      <c r="E17" s="226"/>
      <c r="F17" s="227"/>
      <c r="G17" s="40" t="s">
        <v>105</v>
      </c>
      <c r="H17" s="40" t="s">
        <v>54</v>
      </c>
      <c r="I17" s="30"/>
      <c r="J17" s="13"/>
      <c r="K17" s="3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</row>
    <row r="18" spans="3:211" ht="30" customHeight="1" thickTop="1" thickBot="1">
      <c r="C18" s="249" t="s">
        <v>111</v>
      </c>
      <c r="D18" s="249"/>
      <c r="E18" s="249"/>
      <c r="F18" s="249"/>
      <c r="G18" s="249"/>
      <c r="H18" s="249"/>
      <c r="I18" s="21"/>
      <c r="J18" s="13"/>
      <c r="K18" s="3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</row>
    <row r="19" spans="3:211">
      <c r="C19" s="230" t="s">
        <v>30</v>
      </c>
      <c r="D19" s="231"/>
      <c r="E19" s="232" t="s">
        <v>31</v>
      </c>
      <c r="F19" s="232"/>
      <c r="G19" s="133">
        <v>138.19999999999999</v>
      </c>
      <c r="H19" s="133">
        <v>119.55000000000001</v>
      </c>
      <c r="I19" s="29"/>
      <c r="J19" s="13"/>
      <c r="K19" s="140">
        <f>H19/G19</f>
        <v>0.8650506512301015</v>
      </c>
      <c r="L19" s="4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</row>
    <row r="20" spans="3:211">
      <c r="C20" s="233" t="s">
        <v>32</v>
      </c>
      <c r="D20" s="234"/>
      <c r="E20" s="235" t="s">
        <v>39</v>
      </c>
      <c r="F20" s="235"/>
      <c r="G20" s="134">
        <v>138.19999999999999</v>
      </c>
      <c r="H20" s="134">
        <v>119.55000000000001</v>
      </c>
      <c r="I20" s="29"/>
      <c r="J20" s="13"/>
      <c r="K20" s="140">
        <f t="shared" ref="K20:K49" si="0">H20/G20</f>
        <v>0.8650506512301015</v>
      </c>
      <c r="L20" s="4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</row>
    <row r="21" spans="3:211">
      <c r="C21" s="233" t="s">
        <v>33</v>
      </c>
      <c r="D21" s="234"/>
      <c r="E21" s="235" t="s">
        <v>40</v>
      </c>
      <c r="F21" s="235"/>
      <c r="G21" s="134">
        <v>138.19999999999999</v>
      </c>
      <c r="H21" s="134">
        <v>119.55000000000001</v>
      </c>
      <c r="I21" s="29"/>
      <c r="J21" s="13"/>
      <c r="K21" s="140">
        <f t="shared" si="0"/>
        <v>0.8650506512301015</v>
      </c>
      <c r="L21" s="4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</row>
    <row r="22" spans="3:211">
      <c r="C22" s="233" t="s">
        <v>28</v>
      </c>
      <c r="D22" s="234"/>
      <c r="E22" s="235" t="s">
        <v>29</v>
      </c>
      <c r="F22" s="235"/>
      <c r="G22" s="134">
        <v>138.19999999999999</v>
      </c>
      <c r="H22" s="134">
        <v>119.55000000000001</v>
      </c>
      <c r="I22" s="29"/>
      <c r="J22" s="13"/>
      <c r="K22" s="140">
        <f t="shared" si="0"/>
        <v>0.8650506512301015</v>
      </c>
      <c r="L22" s="4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</row>
    <row r="23" spans="3:211">
      <c r="C23" s="233" t="s">
        <v>34</v>
      </c>
      <c r="D23" s="234"/>
      <c r="E23" s="235" t="s">
        <v>41</v>
      </c>
      <c r="F23" s="235"/>
      <c r="G23" s="134">
        <v>142.05000000000001</v>
      </c>
      <c r="H23" s="134">
        <v>122.85000000000001</v>
      </c>
      <c r="I23" s="29"/>
      <c r="J23" s="13"/>
      <c r="K23" s="140">
        <f t="shared" si="0"/>
        <v>0.86483632523759235</v>
      </c>
      <c r="L23" s="4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</row>
    <row r="24" spans="3:211">
      <c r="C24" s="233" t="s">
        <v>35</v>
      </c>
      <c r="D24" s="234"/>
      <c r="E24" s="235" t="s">
        <v>42</v>
      </c>
      <c r="F24" s="235"/>
      <c r="G24" s="134">
        <v>142.05000000000001</v>
      </c>
      <c r="H24" s="134">
        <v>122.85000000000001</v>
      </c>
      <c r="I24" s="29"/>
      <c r="J24" s="13"/>
      <c r="K24" s="140">
        <f t="shared" si="0"/>
        <v>0.86483632523759235</v>
      </c>
      <c r="L24" s="4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</row>
    <row r="25" spans="3:211">
      <c r="C25" s="233" t="s">
        <v>20</v>
      </c>
      <c r="D25" s="234"/>
      <c r="E25" s="235" t="s">
        <v>43</v>
      </c>
      <c r="F25" s="235"/>
      <c r="G25" s="134">
        <v>142.05000000000001</v>
      </c>
      <c r="H25" s="134">
        <v>122.85000000000001</v>
      </c>
      <c r="I25" s="29"/>
      <c r="J25" s="13"/>
      <c r="K25" s="140">
        <f t="shared" si="0"/>
        <v>0.86483632523759235</v>
      </c>
      <c r="L25" s="44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</row>
    <row r="26" spans="3:211" s="32" customFormat="1">
      <c r="C26" s="233" t="s">
        <v>36</v>
      </c>
      <c r="D26" s="234"/>
      <c r="E26" s="235" t="s">
        <v>44</v>
      </c>
      <c r="F26" s="235"/>
      <c r="G26" s="134">
        <v>144.9</v>
      </c>
      <c r="H26" s="134">
        <v>125.35000000000001</v>
      </c>
      <c r="I26" s="29"/>
      <c r="J26" s="13"/>
      <c r="K26" s="140">
        <f t="shared" si="0"/>
        <v>0.86507936507936511</v>
      </c>
      <c r="L26" s="44"/>
      <c r="M26" s="13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</row>
    <row r="27" spans="3:211" s="32" customFormat="1">
      <c r="C27" s="233" t="s">
        <v>37</v>
      </c>
      <c r="D27" s="234"/>
      <c r="E27" s="235" t="s">
        <v>45</v>
      </c>
      <c r="F27" s="235"/>
      <c r="G27" s="134">
        <v>144.9</v>
      </c>
      <c r="H27" s="134">
        <v>125.35000000000001</v>
      </c>
      <c r="I27" s="29"/>
      <c r="J27" s="13"/>
      <c r="K27" s="140">
        <f t="shared" si="0"/>
        <v>0.86507936507936511</v>
      </c>
      <c r="L27" s="44"/>
      <c r="M27" s="13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</row>
    <row r="28" spans="3:211" ht="15.75" customHeight="1">
      <c r="C28" s="233" t="s">
        <v>21</v>
      </c>
      <c r="D28" s="234"/>
      <c r="E28" s="235" t="s">
        <v>46</v>
      </c>
      <c r="F28" s="235"/>
      <c r="G28" s="134">
        <v>144.9</v>
      </c>
      <c r="H28" s="134">
        <v>125.35000000000001</v>
      </c>
      <c r="I28" s="29"/>
      <c r="J28" s="13"/>
      <c r="K28" s="140">
        <f t="shared" si="0"/>
        <v>0.86507936507936511</v>
      </c>
      <c r="L28" s="44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</row>
    <row r="29" spans="3:211">
      <c r="C29" s="233" t="s">
        <v>22</v>
      </c>
      <c r="D29" s="234"/>
      <c r="E29" s="235" t="s">
        <v>27</v>
      </c>
      <c r="F29" s="235"/>
      <c r="G29" s="134">
        <v>147.69999999999999</v>
      </c>
      <c r="H29" s="134">
        <v>127.75</v>
      </c>
      <c r="I29" s="29"/>
      <c r="J29" s="13"/>
      <c r="K29" s="140">
        <f t="shared" si="0"/>
        <v>0.86492890995260674</v>
      </c>
      <c r="L29" s="4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</row>
    <row r="30" spans="3:211">
      <c r="C30" s="233" t="s">
        <v>38</v>
      </c>
      <c r="D30" s="234"/>
      <c r="E30" s="235" t="s">
        <v>47</v>
      </c>
      <c r="F30" s="235"/>
      <c r="G30" s="134">
        <v>151.69999999999999</v>
      </c>
      <c r="H30" s="134">
        <v>131.20000000000002</v>
      </c>
      <c r="I30" s="29"/>
      <c r="J30" s="13"/>
      <c r="K30" s="140">
        <f t="shared" si="0"/>
        <v>0.86486486486486502</v>
      </c>
      <c r="L30" s="44"/>
      <c r="M30" s="13"/>
    </row>
    <row r="31" spans="3:211" ht="16.149999999999999" customHeight="1">
      <c r="C31" s="233" t="s">
        <v>24</v>
      </c>
      <c r="D31" s="234"/>
      <c r="E31" s="235" t="s">
        <v>25</v>
      </c>
      <c r="F31" s="235"/>
      <c r="G31" s="134">
        <v>151.69999999999999</v>
      </c>
      <c r="H31" s="134">
        <v>131.20000000000002</v>
      </c>
      <c r="I31" s="29"/>
      <c r="J31" s="13"/>
      <c r="K31" s="140">
        <f t="shared" si="0"/>
        <v>0.86486486486486502</v>
      </c>
      <c r="L31" s="44"/>
      <c r="M31" s="13"/>
    </row>
    <row r="32" spans="3:211" ht="16.149999999999999" customHeight="1">
      <c r="C32" s="236" t="s">
        <v>59</v>
      </c>
      <c r="D32" s="237"/>
      <c r="E32" s="237"/>
      <c r="F32" s="238"/>
      <c r="G32" s="134">
        <v>30.75</v>
      </c>
      <c r="H32" s="134">
        <v>26.6</v>
      </c>
      <c r="I32" s="29"/>
      <c r="J32" s="13"/>
      <c r="K32" s="140">
        <f t="shared" si="0"/>
        <v>0.86504065040650413</v>
      </c>
      <c r="L32" s="44"/>
      <c r="M32" s="13"/>
    </row>
    <row r="33" spans="3:13" ht="16.149999999999999" customHeight="1" thickBot="1">
      <c r="C33" s="239" t="s">
        <v>60</v>
      </c>
      <c r="D33" s="240"/>
      <c r="E33" s="240"/>
      <c r="F33" s="241"/>
      <c r="G33" s="135">
        <v>85.350000000000009</v>
      </c>
      <c r="H33" s="135">
        <v>73.850000000000009</v>
      </c>
      <c r="I33" s="29"/>
      <c r="J33" s="13"/>
      <c r="K33" s="140">
        <f t="shared" si="0"/>
        <v>0.86526069127123606</v>
      </c>
      <c r="L33" s="44"/>
      <c r="M33" s="13"/>
    </row>
    <row r="34" spans="3:13" ht="30.75" customHeight="1" thickBot="1">
      <c r="C34" s="248" t="s">
        <v>117</v>
      </c>
      <c r="D34" s="248"/>
      <c r="E34" s="248"/>
      <c r="F34" s="248"/>
      <c r="G34" s="248"/>
      <c r="H34" s="248"/>
      <c r="I34" s="25"/>
      <c r="K34" s="43"/>
      <c r="L34" s="44"/>
    </row>
    <row r="35" spans="3:13" ht="15" customHeight="1">
      <c r="C35" s="230" t="s">
        <v>30</v>
      </c>
      <c r="D35" s="231"/>
      <c r="E35" s="232" t="s">
        <v>31</v>
      </c>
      <c r="F35" s="232"/>
      <c r="G35" s="133">
        <v>152</v>
      </c>
      <c r="H35" s="136">
        <v>131.5</v>
      </c>
      <c r="I35" s="29"/>
      <c r="K35" s="140">
        <f t="shared" si="0"/>
        <v>0.86513157894736847</v>
      </c>
      <c r="L35" s="44"/>
    </row>
    <row r="36" spans="3:13" ht="15" customHeight="1">
      <c r="C36" s="233" t="s">
        <v>32</v>
      </c>
      <c r="D36" s="234"/>
      <c r="E36" s="235" t="s">
        <v>39</v>
      </c>
      <c r="F36" s="235"/>
      <c r="G36" s="134">
        <v>152</v>
      </c>
      <c r="H36" s="137">
        <v>131.5</v>
      </c>
      <c r="I36" s="29"/>
      <c r="K36" s="140">
        <f t="shared" si="0"/>
        <v>0.86513157894736847</v>
      </c>
      <c r="L36" s="44"/>
    </row>
    <row r="37" spans="3:13" ht="15" customHeight="1">
      <c r="C37" s="233" t="s">
        <v>33</v>
      </c>
      <c r="D37" s="234"/>
      <c r="E37" s="235" t="s">
        <v>40</v>
      </c>
      <c r="F37" s="235"/>
      <c r="G37" s="134">
        <v>152</v>
      </c>
      <c r="H37" s="137">
        <v>131.5</v>
      </c>
      <c r="I37" s="29"/>
      <c r="K37" s="140">
        <f t="shared" si="0"/>
        <v>0.86513157894736847</v>
      </c>
      <c r="L37" s="44"/>
    </row>
    <row r="38" spans="3:13" ht="15" customHeight="1">
      <c r="C38" s="233" t="s">
        <v>28</v>
      </c>
      <c r="D38" s="234"/>
      <c r="E38" s="235" t="s">
        <v>29</v>
      </c>
      <c r="F38" s="235"/>
      <c r="G38" s="134">
        <v>152</v>
      </c>
      <c r="H38" s="137">
        <v>131.5</v>
      </c>
      <c r="I38" s="29"/>
      <c r="K38" s="140">
        <f t="shared" si="0"/>
        <v>0.86513157894736847</v>
      </c>
      <c r="L38" s="44"/>
    </row>
    <row r="39" spans="3:13" ht="15" customHeight="1">
      <c r="C39" s="233" t="s">
        <v>34</v>
      </c>
      <c r="D39" s="234"/>
      <c r="E39" s="235" t="s">
        <v>41</v>
      </c>
      <c r="F39" s="235"/>
      <c r="G39" s="134">
        <v>155.85000000000002</v>
      </c>
      <c r="H39" s="137">
        <v>134.80000000000001</v>
      </c>
      <c r="I39" s="29"/>
      <c r="K39" s="140">
        <f t="shared" si="0"/>
        <v>0.86493423163298033</v>
      </c>
      <c r="L39" s="44"/>
    </row>
    <row r="40" spans="3:13" ht="15" customHeight="1">
      <c r="C40" s="233" t="s">
        <v>35</v>
      </c>
      <c r="D40" s="234"/>
      <c r="E40" s="235" t="s">
        <v>42</v>
      </c>
      <c r="F40" s="235"/>
      <c r="G40" s="134">
        <v>155.85000000000002</v>
      </c>
      <c r="H40" s="137">
        <v>134.80000000000001</v>
      </c>
      <c r="I40" s="29"/>
      <c r="K40" s="140">
        <f t="shared" si="0"/>
        <v>0.86493423163298033</v>
      </c>
      <c r="L40" s="44"/>
    </row>
    <row r="41" spans="3:13" ht="15" customHeight="1">
      <c r="C41" s="233" t="s">
        <v>20</v>
      </c>
      <c r="D41" s="234"/>
      <c r="E41" s="235" t="s">
        <v>43</v>
      </c>
      <c r="F41" s="235"/>
      <c r="G41" s="134">
        <v>155.85000000000002</v>
      </c>
      <c r="H41" s="137">
        <v>134.80000000000001</v>
      </c>
      <c r="I41" s="29"/>
      <c r="K41" s="140">
        <f t="shared" si="0"/>
        <v>0.86493423163298033</v>
      </c>
      <c r="L41" s="44"/>
    </row>
    <row r="42" spans="3:13" ht="15" customHeight="1">
      <c r="C42" s="233" t="s">
        <v>36</v>
      </c>
      <c r="D42" s="234"/>
      <c r="E42" s="235" t="s">
        <v>44</v>
      </c>
      <c r="F42" s="235"/>
      <c r="G42" s="134">
        <v>158.69999999999999</v>
      </c>
      <c r="H42" s="137">
        <v>137.30000000000001</v>
      </c>
      <c r="I42" s="29"/>
      <c r="K42" s="140">
        <f t="shared" si="0"/>
        <v>0.86515437933207318</v>
      </c>
      <c r="L42" s="44"/>
    </row>
    <row r="43" spans="3:13" ht="15" customHeight="1">
      <c r="C43" s="233" t="s">
        <v>37</v>
      </c>
      <c r="D43" s="234"/>
      <c r="E43" s="235" t="s">
        <v>45</v>
      </c>
      <c r="F43" s="235"/>
      <c r="G43" s="134">
        <v>158.69999999999999</v>
      </c>
      <c r="H43" s="137">
        <v>137.30000000000001</v>
      </c>
      <c r="I43" s="29"/>
      <c r="K43" s="140">
        <f t="shared" si="0"/>
        <v>0.86515437933207318</v>
      </c>
      <c r="L43" s="44"/>
    </row>
    <row r="44" spans="3:13">
      <c r="C44" s="233" t="s">
        <v>21</v>
      </c>
      <c r="D44" s="234"/>
      <c r="E44" s="235" t="s">
        <v>46</v>
      </c>
      <c r="F44" s="235"/>
      <c r="G44" s="134">
        <v>158.69999999999999</v>
      </c>
      <c r="H44" s="137">
        <v>137.30000000000001</v>
      </c>
      <c r="I44" s="29"/>
      <c r="K44" s="140">
        <f t="shared" si="0"/>
        <v>0.86515437933207318</v>
      </c>
      <c r="L44" s="44"/>
    </row>
    <row r="45" spans="3:13">
      <c r="C45" s="233" t="s">
        <v>22</v>
      </c>
      <c r="D45" s="234"/>
      <c r="E45" s="235" t="s">
        <v>27</v>
      </c>
      <c r="F45" s="235"/>
      <c r="G45" s="134">
        <v>161.5</v>
      </c>
      <c r="H45" s="137">
        <v>139.70000000000002</v>
      </c>
      <c r="I45" s="29"/>
      <c r="K45" s="140">
        <f t="shared" si="0"/>
        <v>0.86501547987616112</v>
      </c>
      <c r="L45" s="44"/>
    </row>
    <row r="46" spans="3:13">
      <c r="C46" s="233" t="s">
        <v>38</v>
      </c>
      <c r="D46" s="234"/>
      <c r="E46" s="235" t="s">
        <v>47</v>
      </c>
      <c r="F46" s="235"/>
      <c r="G46" s="134">
        <v>165.5</v>
      </c>
      <c r="H46" s="137">
        <v>143.15</v>
      </c>
      <c r="I46" s="29"/>
      <c r="K46" s="140">
        <f t="shared" si="0"/>
        <v>0.8649546827794562</v>
      </c>
      <c r="L46" s="44"/>
    </row>
    <row r="47" spans="3:13">
      <c r="C47" s="233" t="s">
        <v>24</v>
      </c>
      <c r="D47" s="234"/>
      <c r="E47" s="235" t="s">
        <v>25</v>
      </c>
      <c r="F47" s="235"/>
      <c r="G47" s="134">
        <v>165.5</v>
      </c>
      <c r="H47" s="137">
        <v>143.15</v>
      </c>
      <c r="I47" s="29"/>
      <c r="K47" s="140">
        <f t="shared" si="0"/>
        <v>0.8649546827794562</v>
      </c>
      <c r="L47" s="44"/>
    </row>
    <row r="48" spans="3:13">
      <c r="C48" s="236" t="s">
        <v>59</v>
      </c>
      <c r="D48" s="237"/>
      <c r="E48" s="237"/>
      <c r="F48" s="237"/>
      <c r="G48" s="134">
        <v>30.75</v>
      </c>
      <c r="H48" s="137">
        <v>26.6</v>
      </c>
      <c r="K48" s="140">
        <f t="shared" si="0"/>
        <v>0.86504065040650413</v>
      </c>
    </row>
    <row r="49" spans="3:11" ht="16" thickBot="1">
      <c r="C49" s="239" t="s">
        <v>60</v>
      </c>
      <c r="D49" s="240"/>
      <c r="E49" s="240"/>
      <c r="F49" s="240"/>
      <c r="G49" s="135">
        <v>85.350000000000009</v>
      </c>
      <c r="H49" s="212">
        <v>73.850000000000009</v>
      </c>
      <c r="K49" s="140">
        <f t="shared" si="0"/>
        <v>0.86526069127123606</v>
      </c>
    </row>
    <row r="50" spans="3:11" ht="48.5" customHeight="1"/>
  </sheetData>
  <mergeCells count="64">
    <mergeCell ref="C21:D21"/>
    <mergeCell ref="E21:F21"/>
    <mergeCell ref="A1:I1"/>
    <mergeCell ref="A2:I2"/>
    <mergeCell ref="A3:I3"/>
    <mergeCell ref="A6:A11"/>
    <mergeCell ref="B6:B11"/>
    <mergeCell ref="C17:F17"/>
    <mergeCell ref="C18:H18"/>
    <mergeCell ref="C19:D19"/>
    <mergeCell ref="E19:F19"/>
    <mergeCell ref="C20:D20"/>
    <mergeCell ref="E20:F20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40:D40"/>
    <mergeCell ref="E40:F40"/>
    <mergeCell ref="C41:D41"/>
    <mergeCell ref="E41:F41"/>
    <mergeCell ref="C42:D42"/>
    <mergeCell ref="C31:D31"/>
    <mergeCell ref="E31:F31"/>
    <mergeCell ref="C34:H34"/>
    <mergeCell ref="C35:D35"/>
    <mergeCell ref="E35:F35"/>
    <mergeCell ref="C32:F32"/>
    <mergeCell ref="C33:F33"/>
    <mergeCell ref="C49:F49"/>
    <mergeCell ref="C46:D46"/>
    <mergeCell ref="E46:F46"/>
    <mergeCell ref="C47:D47"/>
    <mergeCell ref="E47:F47"/>
    <mergeCell ref="E45:F45"/>
    <mergeCell ref="E42:F42"/>
    <mergeCell ref="C36:D36"/>
    <mergeCell ref="E36:F36"/>
    <mergeCell ref="C48:F48"/>
    <mergeCell ref="C37:D37"/>
    <mergeCell ref="E37:F37"/>
    <mergeCell ref="C38:D38"/>
    <mergeCell ref="E38:F38"/>
    <mergeCell ref="C39:D39"/>
    <mergeCell ref="E39:F39"/>
    <mergeCell ref="C45:D45"/>
    <mergeCell ref="C43:D43"/>
    <mergeCell ref="E43:F43"/>
    <mergeCell ref="C44:D44"/>
    <mergeCell ref="E44:F44"/>
  </mergeCells>
  <printOptions horizontalCentered="1"/>
  <pageMargins left="0.31496062992126" right="0.31496062992126" top="0.55118110236220497" bottom="0.35433070866141703" header="0.31496062992126" footer="0.31496062992126"/>
  <pageSetup scale="83" orientation="portrait" r:id="rId1"/>
  <headerFooter alignWithMargins="0">
    <oddFooter>&amp;L&amp;P
&amp;RSEXTON WEST
April 4, 2025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040A-E4A0-4876-8D52-8FA95CE5AAAB}">
  <sheetPr transitionEvaluation="1">
    <tabColor theme="9" tint="0.59999389629810485"/>
    <pageSetUpPr fitToPage="1"/>
  </sheetPr>
  <dimension ref="A1:HC62"/>
  <sheetViews>
    <sheetView defaultGridColor="0" view="pageBreakPreview" colorId="22" zoomScale="90" zoomScaleNormal="110" zoomScaleSheetLayoutView="90" workbookViewId="0">
      <selection activeCell="D9" sqref="D9"/>
    </sheetView>
  </sheetViews>
  <sheetFormatPr defaultColWidth="9" defaultRowHeight="15.5"/>
  <cols>
    <col min="1" max="1" width="8.23046875" style="4" customWidth="1"/>
    <col min="2" max="6" width="11.84375" style="3" customWidth="1"/>
    <col min="7" max="7" width="6.69140625" style="3" customWidth="1"/>
    <col min="8" max="8" width="3.07421875" style="3" customWidth="1"/>
    <col min="9" max="9" width="9" style="34"/>
    <col min="10" max="10" width="9" style="3"/>
    <col min="11" max="11" width="11.23046875" style="3" bestFit="1" customWidth="1"/>
    <col min="12" max="16384" width="9" style="3"/>
  </cols>
  <sheetData>
    <row r="1" spans="1:211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1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1" ht="30" customHeight="1">
      <c r="A3" s="246" t="str">
        <f>'Moulded Panel'!A3</f>
        <v>SEXTON WEST</v>
      </c>
      <c r="B3" s="246"/>
      <c r="C3" s="246"/>
      <c r="D3" s="246"/>
      <c r="E3" s="246"/>
      <c r="F3" s="246"/>
      <c r="G3" s="246"/>
    </row>
    <row r="4" spans="1:211" ht="11.25" customHeight="1">
      <c r="B4" s="1"/>
      <c r="C4" s="2"/>
      <c r="D4" s="2"/>
      <c r="E4" s="2"/>
      <c r="F4" s="2"/>
      <c r="G4" s="1"/>
    </row>
    <row r="5" spans="1:211" ht="13.5" customHeight="1">
      <c r="A5" s="3"/>
      <c r="C5" s="4"/>
      <c r="D5" s="11"/>
      <c r="E5" s="11"/>
      <c r="F5" s="11"/>
      <c r="G5" s="11"/>
      <c r="H5" s="12"/>
      <c r="I5" s="9"/>
      <c r="K5" s="34"/>
    </row>
    <row r="6" spans="1:211" ht="20.25" customHeight="1">
      <c r="A6" s="218" t="s">
        <v>50</v>
      </c>
      <c r="B6" s="1"/>
      <c r="E6" s="1"/>
      <c r="F6" s="1"/>
      <c r="G6" s="1"/>
      <c r="H6" s="1"/>
      <c r="I6" s="1"/>
      <c r="K6" s="34"/>
    </row>
    <row r="7" spans="1:211" ht="20.25" customHeight="1">
      <c r="A7" s="218"/>
      <c r="B7" s="1"/>
      <c r="E7" s="1"/>
      <c r="F7" s="1"/>
      <c r="G7" s="1"/>
      <c r="H7" s="1"/>
      <c r="I7" s="1"/>
      <c r="K7" s="34"/>
    </row>
    <row r="8" spans="1:211" ht="15.75" customHeight="1">
      <c r="A8" s="218"/>
      <c r="B8" s="1"/>
      <c r="E8" s="1"/>
      <c r="F8" s="1"/>
      <c r="G8" s="1"/>
      <c r="H8" s="1"/>
      <c r="I8" s="1"/>
      <c r="K8" s="34"/>
    </row>
    <row r="9" spans="1:211" ht="15.75" customHeight="1">
      <c r="A9" s="218"/>
      <c r="B9" s="1"/>
      <c r="E9" s="1"/>
      <c r="F9" s="1"/>
      <c r="G9" s="1"/>
      <c r="H9" s="1"/>
      <c r="I9" s="1"/>
      <c r="K9" s="34"/>
    </row>
    <row r="10" spans="1:211" ht="20.25" customHeight="1">
      <c r="A10" s="218"/>
      <c r="B10" s="1"/>
      <c r="E10" s="1"/>
      <c r="F10" s="1"/>
      <c r="G10" s="1"/>
      <c r="H10" s="1"/>
      <c r="I10" s="1"/>
      <c r="K10" s="34"/>
    </row>
    <row r="11" spans="1:211" ht="20.25" customHeight="1">
      <c r="A11" s="218"/>
      <c r="B11" s="1"/>
      <c r="E11" s="1"/>
      <c r="F11" s="1"/>
      <c r="G11" s="1"/>
      <c r="H11" s="1"/>
      <c r="I11" s="1"/>
      <c r="K11" s="34"/>
    </row>
    <row r="12" spans="1:211" ht="9" customHeight="1" thickBot="1">
      <c r="B12" s="5"/>
      <c r="E12" s="1"/>
      <c r="F12" s="1"/>
      <c r="G12" s="1"/>
      <c r="H12" s="7"/>
      <c r="I12" s="7"/>
      <c r="K12" s="34"/>
    </row>
    <row r="13" spans="1:211" ht="38.25" customHeight="1" thickTop="1" thickBot="1">
      <c r="A13" s="16"/>
      <c r="B13" s="15" t="s">
        <v>15</v>
      </c>
      <c r="E13" s="1"/>
      <c r="F13" s="1"/>
      <c r="G13" s="1"/>
      <c r="H13" s="36"/>
      <c r="I13" s="37"/>
      <c r="J13" s="13"/>
      <c r="K13" s="3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</row>
    <row r="14" spans="1:211" ht="16.5" thickTop="1" thickBot="1">
      <c r="A14" s="20" t="s">
        <v>9</v>
      </c>
      <c r="B14" s="19" t="s">
        <v>12</v>
      </c>
      <c r="E14" s="1"/>
      <c r="F14" s="1"/>
      <c r="G14" s="1"/>
      <c r="H14" s="38"/>
      <c r="I14" s="14"/>
      <c r="J14" s="13"/>
      <c r="K14" s="3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</row>
    <row r="15" spans="1:211" ht="16.5" thickTop="1" thickBot="1">
      <c r="A15" s="20" t="s">
        <v>10</v>
      </c>
      <c r="B15" s="19" t="s">
        <v>13</v>
      </c>
      <c r="E15" s="1"/>
      <c r="F15" s="1"/>
      <c r="G15" s="1"/>
      <c r="H15" s="14"/>
      <c r="I15" s="14"/>
      <c r="J15" s="13"/>
      <c r="K15" s="3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</row>
    <row r="16" spans="1:211" ht="16.5" customHeight="1" thickTop="1" thickBot="1">
      <c r="A16" s="3"/>
      <c r="C16" s="8"/>
      <c r="D16" s="10"/>
      <c r="E16" s="10"/>
      <c r="F16" s="11"/>
      <c r="G16" s="10"/>
      <c r="H16" s="10"/>
      <c r="I16" s="10"/>
      <c r="J16" s="13"/>
      <c r="K16" s="3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</row>
    <row r="17" spans="1:209" ht="36" customHeight="1" thickTop="1" thickBot="1">
      <c r="A17" s="225" t="s">
        <v>3</v>
      </c>
      <c r="B17" s="226"/>
      <c r="C17" s="226"/>
      <c r="D17" s="227"/>
      <c r="E17" s="40" t="s">
        <v>105</v>
      </c>
      <c r="F17" s="40" t="s">
        <v>54</v>
      </c>
      <c r="G17" s="52"/>
      <c r="H17" s="13"/>
      <c r="I17" s="3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</row>
    <row r="18" spans="1:209" ht="30" customHeight="1" thickTop="1" thickBot="1">
      <c r="A18" s="229" t="s">
        <v>0</v>
      </c>
      <c r="B18" s="229"/>
      <c r="C18" s="229"/>
      <c r="D18" s="229"/>
      <c r="E18" s="229"/>
      <c r="F18" s="229"/>
      <c r="G18" s="25"/>
      <c r="H18" s="13"/>
      <c r="I18" s="3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</row>
    <row r="19" spans="1:209">
      <c r="A19" s="230" t="s">
        <v>30</v>
      </c>
      <c r="B19" s="231"/>
      <c r="C19" s="232" t="s">
        <v>31</v>
      </c>
      <c r="D19" s="250"/>
      <c r="E19" s="133">
        <v>77.25</v>
      </c>
      <c r="F19" s="133">
        <v>66.8</v>
      </c>
      <c r="G19" s="26"/>
      <c r="H19" s="13"/>
      <c r="I19" s="140">
        <f>F19/E19</f>
        <v>0.86472491909385107</v>
      </c>
      <c r="J19" s="44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</row>
    <row r="20" spans="1:209">
      <c r="A20" s="233" t="s">
        <v>32</v>
      </c>
      <c r="B20" s="234"/>
      <c r="C20" s="235" t="s">
        <v>39</v>
      </c>
      <c r="D20" s="251"/>
      <c r="E20" s="134">
        <v>77.25</v>
      </c>
      <c r="F20" s="134">
        <v>66.8</v>
      </c>
      <c r="G20" s="26"/>
      <c r="H20" s="13"/>
      <c r="I20" s="140">
        <f t="shared" ref="I20:I61" si="0">F20/E20</f>
        <v>0.86472491909385107</v>
      </c>
      <c r="J20" s="44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</row>
    <row r="21" spans="1:209">
      <c r="A21" s="233" t="s">
        <v>33</v>
      </c>
      <c r="B21" s="234"/>
      <c r="C21" s="235" t="s">
        <v>40</v>
      </c>
      <c r="D21" s="251"/>
      <c r="E21" s="134">
        <v>77.25</v>
      </c>
      <c r="F21" s="134">
        <v>66.8</v>
      </c>
      <c r="G21" s="26"/>
      <c r="H21" s="13"/>
      <c r="I21" s="140">
        <f t="shared" si="0"/>
        <v>0.86472491909385107</v>
      </c>
      <c r="J21" s="44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</row>
    <row r="22" spans="1:209">
      <c r="A22" s="233" t="s">
        <v>28</v>
      </c>
      <c r="B22" s="234"/>
      <c r="C22" s="235" t="s">
        <v>29</v>
      </c>
      <c r="D22" s="251"/>
      <c r="E22" s="134">
        <v>77.25</v>
      </c>
      <c r="F22" s="134">
        <v>66.8</v>
      </c>
      <c r="G22" s="26"/>
      <c r="H22" s="13"/>
      <c r="I22" s="140">
        <f t="shared" si="0"/>
        <v>0.86472491909385107</v>
      </c>
      <c r="J22" s="44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</row>
    <row r="23" spans="1:209">
      <c r="A23" s="233" t="s">
        <v>34</v>
      </c>
      <c r="B23" s="234"/>
      <c r="C23" s="235" t="s">
        <v>41</v>
      </c>
      <c r="D23" s="251"/>
      <c r="E23" s="134">
        <v>81.100000000000009</v>
      </c>
      <c r="F23" s="134">
        <v>70.150000000000006</v>
      </c>
      <c r="G23" s="26"/>
      <c r="H23" s="13"/>
      <c r="I23" s="140">
        <f t="shared" si="0"/>
        <v>0.86498150431565968</v>
      </c>
      <c r="J23" s="44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</row>
    <row r="24" spans="1:209">
      <c r="A24" s="233" t="s">
        <v>35</v>
      </c>
      <c r="B24" s="234"/>
      <c r="C24" s="235" t="s">
        <v>42</v>
      </c>
      <c r="D24" s="251"/>
      <c r="E24" s="134">
        <v>81.100000000000009</v>
      </c>
      <c r="F24" s="134">
        <v>70.150000000000006</v>
      </c>
      <c r="G24" s="26"/>
      <c r="H24" s="13"/>
      <c r="I24" s="140">
        <f t="shared" si="0"/>
        <v>0.86498150431565968</v>
      </c>
      <c r="J24" s="44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</row>
    <row r="25" spans="1:209">
      <c r="A25" s="233" t="s">
        <v>20</v>
      </c>
      <c r="B25" s="234"/>
      <c r="C25" s="235" t="s">
        <v>43</v>
      </c>
      <c r="D25" s="251"/>
      <c r="E25" s="134">
        <v>81.100000000000009</v>
      </c>
      <c r="F25" s="134">
        <v>70.150000000000006</v>
      </c>
      <c r="G25" s="26"/>
      <c r="H25" s="13"/>
      <c r="I25" s="140">
        <f t="shared" si="0"/>
        <v>0.86498150431565968</v>
      </c>
      <c r="J25" s="44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</row>
    <row r="26" spans="1:209" s="32" customFormat="1">
      <c r="A26" s="233" t="s">
        <v>36</v>
      </c>
      <c r="B26" s="234"/>
      <c r="C26" s="235" t="s">
        <v>44</v>
      </c>
      <c r="D26" s="251"/>
      <c r="E26" s="134">
        <v>83.95</v>
      </c>
      <c r="F26" s="134">
        <v>72.600000000000009</v>
      </c>
      <c r="G26" s="26"/>
      <c r="H26" s="13"/>
      <c r="I26" s="140">
        <f t="shared" si="0"/>
        <v>0.86480047647409175</v>
      </c>
      <c r="J26" s="44"/>
      <c r="K26" s="13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</row>
    <row r="27" spans="1:209" s="32" customFormat="1">
      <c r="A27" s="233" t="s">
        <v>37</v>
      </c>
      <c r="B27" s="234"/>
      <c r="C27" s="235" t="s">
        <v>45</v>
      </c>
      <c r="D27" s="251"/>
      <c r="E27" s="134">
        <v>83.95</v>
      </c>
      <c r="F27" s="134">
        <v>72.600000000000009</v>
      </c>
      <c r="G27" s="26"/>
      <c r="H27" s="13"/>
      <c r="I27" s="140">
        <f t="shared" si="0"/>
        <v>0.86480047647409175</v>
      </c>
      <c r="J27" s="44"/>
      <c r="K27" s="13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</row>
    <row r="28" spans="1:209" ht="15.75" customHeight="1">
      <c r="A28" s="233" t="s">
        <v>21</v>
      </c>
      <c r="B28" s="234"/>
      <c r="C28" s="235" t="s">
        <v>46</v>
      </c>
      <c r="D28" s="251"/>
      <c r="E28" s="134">
        <v>83.95</v>
      </c>
      <c r="F28" s="134">
        <v>72.600000000000009</v>
      </c>
      <c r="G28" s="26"/>
      <c r="H28" s="13"/>
      <c r="I28" s="140">
        <f t="shared" si="0"/>
        <v>0.86480047647409175</v>
      </c>
      <c r="J28" s="44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</row>
    <row r="29" spans="1:209">
      <c r="A29" s="233" t="s">
        <v>22</v>
      </c>
      <c r="B29" s="234"/>
      <c r="C29" s="235" t="s">
        <v>27</v>
      </c>
      <c r="D29" s="251"/>
      <c r="E29" s="134">
        <v>86.75</v>
      </c>
      <c r="F29" s="134">
        <v>75.05</v>
      </c>
      <c r="G29" s="26"/>
      <c r="H29" s="13"/>
      <c r="I29" s="140">
        <f t="shared" si="0"/>
        <v>0.86512968299711812</v>
      </c>
      <c r="J29" s="44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</row>
    <row r="30" spans="1:209">
      <c r="A30" s="233" t="s">
        <v>38</v>
      </c>
      <c r="B30" s="234"/>
      <c r="C30" s="235" t="s">
        <v>47</v>
      </c>
      <c r="D30" s="251"/>
      <c r="E30" s="134">
        <v>90.75</v>
      </c>
      <c r="F30" s="134">
        <v>78.5</v>
      </c>
      <c r="G30" s="26"/>
      <c r="H30" s="13"/>
      <c r="I30" s="140">
        <f t="shared" si="0"/>
        <v>0.86501377410468316</v>
      </c>
      <c r="J30" s="44"/>
      <c r="K30" s="13"/>
    </row>
    <row r="31" spans="1:209" ht="16.149999999999999" customHeight="1">
      <c r="A31" s="233" t="s">
        <v>24</v>
      </c>
      <c r="B31" s="234"/>
      <c r="C31" s="235" t="s">
        <v>25</v>
      </c>
      <c r="D31" s="251"/>
      <c r="E31" s="134">
        <v>90.75</v>
      </c>
      <c r="F31" s="134">
        <v>78.5</v>
      </c>
      <c r="G31" s="26"/>
      <c r="H31" s="13"/>
      <c r="I31" s="140">
        <f t="shared" si="0"/>
        <v>0.86501377410468316</v>
      </c>
      <c r="J31" s="44"/>
      <c r="K31" s="13"/>
    </row>
    <row r="32" spans="1:209" ht="16.149999999999999" customHeight="1">
      <c r="A32" s="236" t="s">
        <v>59</v>
      </c>
      <c r="B32" s="237"/>
      <c r="C32" s="237"/>
      <c r="D32" s="238"/>
      <c r="E32" s="134">
        <v>30.75</v>
      </c>
      <c r="F32" s="134">
        <v>26.6</v>
      </c>
      <c r="G32" s="26"/>
      <c r="H32" s="13"/>
      <c r="I32" s="140">
        <f t="shared" si="0"/>
        <v>0.86504065040650413</v>
      </c>
      <c r="J32" s="44"/>
      <c r="K32" s="13"/>
    </row>
    <row r="33" spans="1:11" ht="16.149999999999999" customHeight="1" thickBot="1">
      <c r="A33" s="239" t="s">
        <v>60</v>
      </c>
      <c r="B33" s="240"/>
      <c r="C33" s="240"/>
      <c r="D33" s="241"/>
      <c r="E33" s="135">
        <v>85.350000000000009</v>
      </c>
      <c r="F33" s="135">
        <v>73.850000000000009</v>
      </c>
      <c r="G33" s="26"/>
      <c r="H33" s="13"/>
      <c r="I33" s="140">
        <f t="shared" si="0"/>
        <v>0.86526069127123606</v>
      </c>
      <c r="J33" s="44"/>
      <c r="K33" s="13"/>
    </row>
    <row r="34" spans="1:11" ht="30" customHeight="1" thickBot="1">
      <c r="A34" s="248" t="s">
        <v>58</v>
      </c>
      <c r="B34" s="248"/>
      <c r="C34" s="248"/>
      <c r="D34" s="248"/>
      <c r="E34" s="248"/>
      <c r="F34" s="248"/>
      <c r="G34" s="25"/>
      <c r="I34" s="43"/>
      <c r="J34" s="44"/>
    </row>
    <row r="35" spans="1:11" ht="16.149999999999999" customHeight="1">
      <c r="A35" s="242" t="s">
        <v>28</v>
      </c>
      <c r="B35" s="243"/>
      <c r="C35" s="244" t="s">
        <v>29</v>
      </c>
      <c r="D35" s="244"/>
      <c r="E35" s="133">
        <v>97.600000000000009</v>
      </c>
      <c r="F35" s="133">
        <v>84.4</v>
      </c>
      <c r="G35" s="26"/>
      <c r="I35" s="43">
        <f t="shared" si="0"/>
        <v>0.86475409836065575</v>
      </c>
      <c r="J35" s="44"/>
    </row>
    <row r="36" spans="1:11" ht="16.149999999999999" customHeight="1">
      <c r="A36" s="221" t="s">
        <v>34</v>
      </c>
      <c r="B36" s="222"/>
      <c r="C36" s="223" t="s">
        <v>41</v>
      </c>
      <c r="D36" s="224"/>
      <c r="E36" s="134">
        <v>97.600000000000009</v>
      </c>
      <c r="F36" s="134">
        <v>84.4</v>
      </c>
      <c r="G36" s="26"/>
      <c r="I36" s="43">
        <f t="shared" si="0"/>
        <v>0.86475409836065575</v>
      </c>
      <c r="J36" s="44"/>
    </row>
    <row r="37" spans="1:11" ht="16.149999999999999" customHeight="1">
      <c r="A37" s="221" t="s">
        <v>35</v>
      </c>
      <c r="B37" s="222"/>
      <c r="C37" s="223" t="s">
        <v>42</v>
      </c>
      <c r="D37" s="224"/>
      <c r="E37" s="134">
        <v>97.600000000000009</v>
      </c>
      <c r="F37" s="134">
        <v>84.4</v>
      </c>
      <c r="G37" s="26"/>
      <c r="I37" s="43">
        <f t="shared" si="0"/>
        <v>0.86475409836065575</v>
      </c>
      <c r="J37" s="44"/>
    </row>
    <row r="38" spans="1:11" ht="16.149999999999999" customHeight="1">
      <c r="A38" s="221" t="s">
        <v>20</v>
      </c>
      <c r="B38" s="222"/>
      <c r="C38" s="223" t="s">
        <v>43</v>
      </c>
      <c r="D38" s="224"/>
      <c r="E38" s="134">
        <v>97.600000000000009</v>
      </c>
      <c r="F38" s="134">
        <v>84.4</v>
      </c>
      <c r="G38" s="26"/>
      <c r="I38" s="43">
        <f t="shared" si="0"/>
        <v>0.86475409836065575</v>
      </c>
      <c r="J38" s="44"/>
    </row>
    <row r="39" spans="1:11" ht="16.149999999999999" customHeight="1">
      <c r="A39" s="221" t="s">
        <v>36</v>
      </c>
      <c r="B39" s="222"/>
      <c r="C39" s="223" t="s">
        <v>44</v>
      </c>
      <c r="D39" s="224"/>
      <c r="E39" s="134">
        <v>106.95</v>
      </c>
      <c r="F39" s="134">
        <v>92.5</v>
      </c>
      <c r="G39" s="26"/>
      <c r="I39" s="43">
        <f t="shared" si="0"/>
        <v>0.8648901355773726</v>
      </c>
      <c r="J39" s="44"/>
    </row>
    <row r="40" spans="1:11" ht="16.149999999999999" customHeight="1">
      <c r="A40" s="221" t="s">
        <v>37</v>
      </c>
      <c r="B40" s="222"/>
      <c r="C40" s="223" t="s">
        <v>45</v>
      </c>
      <c r="D40" s="224"/>
      <c r="E40" s="134">
        <v>106.95</v>
      </c>
      <c r="F40" s="134">
        <v>92.5</v>
      </c>
      <c r="G40" s="26"/>
      <c r="I40" s="43">
        <f t="shared" si="0"/>
        <v>0.8648901355773726</v>
      </c>
      <c r="J40" s="44"/>
    </row>
    <row r="41" spans="1:11" ht="16.149999999999999" customHeight="1">
      <c r="A41" s="221" t="s">
        <v>21</v>
      </c>
      <c r="B41" s="222"/>
      <c r="C41" s="223" t="s">
        <v>46</v>
      </c>
      <c r="D41" s="224"/>
      <c r="E41" s="134">
        <v>106.95</v>
      </c>
      <c r="F41" s="134">
        <v>92.5</v>
      </c>
      <c r="G41" s="26"/>
      <c r="I41" s="43">
        <f t="shared" si="0"/>
        <v>0.8648901355773726</v>
      </c>
      <c r="J41" s="44"/>
    </row>
    <row r="42" spans="1:11" ht="16.149999999999999" customHeight="1">
      <c r="A42" s="221" t="s">
        <v>22</v>
      </c>
      <c r="B42" s="222"/>
      <c r="C42" s="223" t="s">
        <v>27</v>
      </c>
      <c r="D42" s="224"/>
      <c r="E42" s="134">
        <v>113</v>
      </c>
      <c r="F42" s="134">
        <v>97.75</v>
      </c>
      <c r="G42" s="26"/>
      <c r="I42" s="43">
        <f t="shared" si="0"/>
        <v>0.86504424778761058</v>
      </c>
      <c r="J42" s="44"/>
    </row>
    <row r="43" spans="1:11" ht="16.149999999999999" customHeight="1">
      <c r="A43" s="221" t="s">
        <v>38</v>
      </c>
      <c r="B43" s="222"/>
      <c r="C43" s="223" t="s">
        <v>47</v>
      </c>
      <c r="D43" s="224"/>
      <c r="E43" s="134">
        <v>113</v>
      </c>
      <c r="F43" s="134">
        <v>97.75</v>
      </c>
      <c r="G43" s="26"/>
      <c r="I43" s="43">
        <f t="shared" si="0"/>
        <v>0.86504424778761058</v>
      </c>
      <c r="J43" s="44"/>
    </row>
    <row r="44" spans="1:11" ht="15.75" customHeight="1">
      <c r="A44" s="233" t="s">
        <v>24</v>
      </c>
      <c r="B44" s="234"/>
      <c r="C44" s="223" t="s">
        <v>25</v>
      </c>
      <c r="D44" s="223"/>
      <c r="E44" s="134">
        <v>113</v>
      </c>
      <c r="F44" s="134">
        <v>97.75</v>
      </c>
      <c r="G44" s="26"/>
      <c r="I44" s="43">
        <f t="shared" si="0"/>
        <v>0.86504424778761058</v>
      </c>
      <c r="J44" s="44"/>
    </row>
    <row r="45" spans="1:11" ht="15.75" customHeight="1" thickBot="1">
      <c r="A45" s="239" t="s">
        <v>59</v>
      </c>
      <c r="B45" s="240"/>
      <c r="C45" s="240"/>
      <c r="D45" s="241"/>
      <c r="E45" s="135">
        <v>30.75</v>
      </c>
      <c r="F45" s="135">
        <v>26.6</v>
      </c>
      <c r="G45" s="26"/>
      <c r="I45" s="43"/>
      <c r="J45" s="44"/>
    </row>
    <row r="46" spans="1:11" ht="30.75" customHeight="1" thickBot="1">
      <c r="A46" s="252" t="s">
        <v>23</v>
      </c>
      <c r="B46" s="252"/>
      <c r="C46" s="252"/>
      <c r="D46" s="252"/>
      <c r="E46" s="252"/>
      <c r="F46" s="252"/>
      <c r="G46" s="25"/>
      <c r="I46" s="43"/>
      <c r="J46" s="44"/>
    </row>
    <row r="47" spans="1:11" ht="15" customHeight="1">
      <c r="A47" s="230" t="s">
        <v>30</v>
      </c>
      <c r="B47" s="231"/>
      <c r="C47" s="232" t="s">
        <v>31</v>
      </c>
      <c r="D47" s="250"/>
      <c r="E47" s="133">
        <v>165.25</v>
      </c>
      <c r="F47" s="133">
        <v>142.95000000000002</v>
      </c>
      <c r="G47" s="26"/>
      <c r="I47" s="140">
        <f t="shared" si="0"/>
        <v>0.86505295007564309</v>
      </c>
      <c r="J47" s="44"/>
    </row>
    <row r="48" spans="1:11" ht="15" customHeight="1">
      <c r="A48" s="233" t="s">
        <v>32</v>
      </c>
      <c r="B48" s="234"/>
      <c r="C48" s="235" t="s">
        <v>39</v>
      </c>
      <c r="D48" s="251"/>
      <c r="E48" s="134">
        <v>165.25</v>
      </c>
      <c r="F48" s="134">
        <v>142.95000000000002</v>
      </c>
      <c r="G48" s="26"/>
      <c r="I48" s="140">
        <f t="shared" si="0"/>
        <v>0.86505295007564309</v>
      </c>
      <c r="J48" s="44"/>
    </row>
    <row r="49" spans="1:10" ht="15" customHeight="1">
      <c r="A49" s="233" t="s">
        <v>33</v>
      </c>
      <c r="B49" s="234"/>
      <c r="C49" s="235" t="s">
        <v>40</v>
      </c>
      <c r="D49" s="251"/>
      <c r="E49" s="134">
        <v>165.25</v>
      </c>
      <c r="F49" s="134">
        <v>142.95000000000002</v>
      </c>
      <c r="G49" s="26"/>
      <c r="I49" s="140">
        <f t="shared" si="0"/>
        <v>0.86505295007564309</v>
      </c>
      <c r="J49" s="44"/>
    </row>
    <row r="50" spans="1:10" ht="15" customHeight="1">
      <c r="A50" s="233" t="s">
        <v>28</v>
      </c>
      <c r="B50" s="234"/>
      <c r="C50" s="235" t="s">
        <v>29</v>
      </c>
      <c r="D50" s="251"/>
      <c r="E50" s="134">
        <v>165.25</v>
      </c>
      <c r="F50" s="134">
        <v>142.95000000000002</v>
      </c>
      <c r="G50" s="26"/>
      <c r="I50" s="140">
        <f t="shared" si="0"/>
        <v>0.86505295007564309</v>
      </c>
      <c r="J50" s="44"/>
    </row>
    <row r="51" spans="1:10" ht="15" customHeight="1">
      <c r="A51" s="233" t="s">
        <v>34</v>
      </c>
      <c r="B51" s="234"/>
      <c r="C51" s="235" t="s">
        <v>41</v>
      </c>
      <c r="D51" s="251"/>
      <c r="E51" s="134">
        <v>169.10000000000002</v>
      </c>
      <c r="F51" s="134">
        <v>146.25</v>
      </c>
      <c r="G51" s="26"/>
      <c r="I51" s="140">
        <f t="shared" si="0"/>
        <v>0.86487285629804833</v>
      </c>
      <c r="J51" s="44"/>
    </row>
    <row r="52" spans="1:10" ht="15" customHeight="1">
      <c r="A52" s="233" t="s">
        <v>35</v>
      </c>
      <c r="B52" s="234"/>
      <c r="C52" s="235" t="s">
        <v>42</v>
      </c>
      <c r="D52" s="251"/>
      <c r="E52" s="134">
        <v>169.10000000000002</v>
      </c>
      <c r="F52" s="134">
        <v>146.25</v>
      </c>
      <c r="G52" s="26"/>
      <c r="I52" s="140">
        <f t="shared" si="0"/>
        <v>0.86487285629804833</v>
      </c>
      <c r="J52" s="44"/>
    </row>
    <row r="53" spans="1:10" ht="15" customHeight="1">
      <c r="A53" s="233" t="s">
        <v>20</v>
      </c>
      <c r="B53" s="234"/>
      <c r="C53" s="235" t="s">
        <v>43</v>
      </c>
      <c r="D53" s="251"/>
      <c r="E53" s="134">
        <v>169.10000000000002</v>
      </c>
      <c r="F53" s="134">
        <v>146.25</v>
      </c>
      <c r="G53" s="26"/>
      <c r="I53" s="140">
        <f t="shared" si="0"/>
        <v>0.86487285629804833</v>
      </c>
      <c r="J53" s="44"/>
    </row>
    <row r="54" spans="1:10" ht="15" customHeight="1">
      <c r="A54" s="233" t="s">
        <v>36</v>
      </c>
      <c r="B54" s="234"/>
      <c r="C54" s="235" t="s">
        <v>44</v>
      </c>
      <c r="D54" s="251"/>
      <c r="E54" s="134">
        <v>171.95</v>
      </c>
      <c r="F54" s="134">
        <v>148.75</v>
      </c>
      <c r="G54" s="26"/>
      <c r="I54" s="140">
        <f t="shared" si="0"/>
        <v>0.86507705728409423</v>
      </c>
      <c r="J54" s="44"/>
    </row>
    <row r="55" spans="1:10" ht="15" customHeight="1">
      <c r="A55" s="233" t="s">
        <v>37</v>
      </c>
      <c r="B55" s="234"/>
      <c r="C55" s="235" t="s">
        <v>45</v>
      </c>
      <c r="D55" s="251"/>
      <c r="E55" s="134">
        <v>171.95</v>
      </c>
      <c r="F55" s="134">
        <v>148.75</v>
      </c>
      <c r="G55" s="26"/>
      <c r="I55" s="140">
        <f t="shared" si="0"/>
        <v>0.86507705728409423</v>
      </c>
      <c r="J55" s="44"/>
    </row>
    <row r="56" spans="1:10">
      <c r="A56" s="233" t="s">
        <v>21</v>
      </c>
      <c r="B56" s="234"/>
      <c r="C56" s="235" t="s">
        <v>46</v>
      </c>
      <c r="D56" s="251"/>
      <c r="E56" s="134">
        <v>171.95</v>
      </c>
      <c r="F56" s="134">
        <v>148.75</v>
      </c>
      <c r="G56" s="26"/>
      <c r="I56" s="140">
        <f t="shared" si="0"/>
        <v>0.86507705728409423</v>
      </c>
      <c r="J56" s="44"/>
    </row>
    <row r="57" spans="1:10">
      <c r="A57" s="233" t="s">
        <v>22</v>
      </c>
      <c r="B57" s="234"/>
      <c r="C57" s="235" t="s">
        <v>27</v>
      </c>
      <c r="D57" s="251"/>
      <c r="E57" s="134">
        <v>174.75</v>
      </c>
      <c r="F57" s="134">
        <v>151.15</v>
      </c>
      <c r="G57" s="26"/>
      <c r="I57" s="140">
        <f t="shared" si="0"/>
        <v>0.86494992846924179</v>
      </c>
      <c r="J57" s="44"/>
    </row>
    <row r="58" spans="1:10">
      <c r="A58" s="233" t="s">
        <v>38</v>
      </c>
      <c r="B58" s="234"/>
      <c r="C58" s="235" t="s">
        <v>47</v>
      </c>
      <c r="D58" s="251"/>
      <c r="E58" s="134">
        <v>178.75</v>
      </c>
      <c r="F58" s="134">
        <v>154.60000000000002</v>
      </c>
      <c r="G58" s="26"/>
      <c r="I58" s="140">
        <f t="shared" si="0"/>
        <v>0.86489510489510502</v>
      </c>
      <c r="J58" s="44"/>
    </row>
    <row r="59" spans="1:10" ht="16.149999999999999" customHeight="1">
      <c r="A59" s="233" t="s">
        <v>24</v>
      </c>
      <c r="B59" s="234"/>
      <c r="C59" s="235" t="s">
        <v>25</v>
      </c>
      <c r="D59" s="251"/>
      <c r="E59" s="134">
        <v>178.75</v>
      </c>
      <c r="F59" s="134">
        <v>154.60000000000002</v>
      </c>
      <c r="G59" s="26"/>
      <c r="I59" s="140">
        <f t="shared" si="0"/>
        <v>0.86489510489510502</v>
      </c>
      <c r="J59" s="44"/>
    </row>
    <row r="60" spans="1:10" ht="16.149999999999999" customHeight="1">
      <c r="A60" s="236" t="s">
        <v>59</v>
      </c>
      <c r="B60" s="237"/>
      <c r="C60" s="237"/>
      <c r="D60" s="238"/>
      <c r="E60" s="134">
        <v>16.399999999999999</v>
      </c>
      <c r="F60" s="134">
        <v>14.2</v>
      </c>
      <c r="G60" s="26"/>
      <c r="I60" s="140">
        <f t="shared" si="0"/>
        <v>0.86585365853658536</v>
      </c>
      <c r="J60" s="44"/>
    </row>
    <row r="61" spans="1:10" ht="16.149999999999999" customHeight="1" thickBot="1">
      <c r="A61" s="239" t="s">
        <v>60</v>
      </c>
      <c r="B61" s="240"/>
      <c r="C61" s="240"/>
      <c r="D61" s="241"/>
      <c r="E61" s="135">
        <v>108.1</v>
      </c>
      <c r="F61" s="135">
        <v>93.5</v>
      </c>
      <c r="G61" s="26"/>
      <c r="I61" s="140">
        <f t="shared" si="0"/>
        <v>0.86493987049028687</v>
      </c>
      <c r="J61" s="44"/>
    </row>
    <row r="62" spans="1:10" ht="46" customHeight="1">
      <c r="A62" s="248"/>
      <c r="B62" s="248"/>
      <c r="C62" s="248"/>
      <c r="D62" s="248"/>
      <c r="E62" s="248"/>
      <c r="F62" s="248"/>
      <c r="G62" s="25"/>
    </row>
  </sheetData>
  <mergeCells count="86">
    <mergeCell ref="A60:D60"/>
    <mergeCell ref="A61:D61"/>
    <mergeCell ref="A34:F34"/>
    <mergeCell ref="A46:F46"/>
    <mergeCell ref="A57:B57"/>
    <mergeCell ref="C57:D57"/>
    <mergeCell ref="A58:B58"/>
    <mergeCell ref="C58:D58"/>
    <mergeCell ref="A54:B54"/>
    <mergeCell ref="C54:D54"/>
    <mergeCell ref="A55:B55"/>
    <mergeCell ref="C55:D55"/>
    <mergeCell ref="A56:B56"/>
    <mergeCell ref="C56:D56"/>
    <mergeCell ref="C41:D41"/>
    <mergeCell ref="A42:B42"/>
    <mergeCell ref="A32:D32"/>
    <mergeCell ref="A33:D33"/>
    <mergeCell ref="C52:D52"/>
    <mergeCell ref="A53:B53"/>
    <mergeCell ref="A47:B47"/>
    <mergeCell ref="C47:D47"/>
    <mergeCell ref="A38:B38"/>
    <mergeCell ref="C38:D38"/>
    <mergeCell ref="A39:B39"/>
    <mergeCell ref="C39:D39"/>
    <mergeCell ref="A44:B44"/>
    <mergeCell ref="C44:D44"/>
    <mergeCell ref="A40:B40"/>
    <mergeCell ref="C40:D40"/>
    <mergeCell ref="A41:B41"/>
    <mergeCell ref="A45:D45"/>
    <mergeCell ref="A62:F62"/>
    <mergeCell ref="A3:G3"/>
    <mergeCell ref="A59:B59"/>
    <mergeCell ref="C59:D59"/>
    <mergeCell ref="C53:D53"/>
    <mergeCell ref="A48:B48"/>
    <mergeCell ref="C48:D48"/>
    <mergeCell ref="A49:B49"/>
    <mergeCell ref="C49:D49"/>
    <mergeCell ref="A50:B50"/>
    <mergeCell ref="C50:D50"/>
    <mergeCell ref="A43:B43"/>
    <mergeCell ref="C43:D43"/>
    <mergeCell ref="A51:B51"/>
    <mergeCell ref="C51:D51"/>
    <mergeCell ref="A52:B52"/>
    <mergeCell ref="C42:D42"/>
    <mergeCell ref="A35:B35"/>
    <mergeCell ref="C35:D35"/>
    <mergeCell ref="A36:B36"/>
    <mergeCell ref="C36:D36"/>
    <mergeCell ref="A37:B37"/>
    <mergeCell ref="C37:D37"/>
    <mergeCell ref="A29:B29"/>
    <mergeCell ref="C29:D29"/>
    <mergeCell ref="A30:B30"/>
    <mergeCell ref="C30:D30"/>
    <mergeCell ref="A31:B31"/>
    <mergeCell ref="C31:D31"/>
    <mergeCell ref="A26:B26"/>
    <mergeCell ref="C26:D26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6:A11"/>
    <mergeCell ref="A17:D17"/>
    <mergeCell ref="A1:G1"/>
    <mergeCell ref="A19:B19"/>
    <mergeCell ref="C19:D19"/>
    <mergeCell ref="A2:G2"/>
    <mergeCell ref="A18:F18"/>
  </mergeCells>
  <printOptions horizontalCentered="1"/>
  <pageMargins left="0.31496062992126" right="0.31496062992126" top="0.55118110236220497" bottom="0.35433070866141703" header="0.31496062992126" footer="0.31496062992126"/>
  <pageSetup scale="67" orientation="portrait" r:id="rId1"/>
  <headerFooter alignWithMargins="0">
    <oddFooter>&amp;L&amp;P
&amp;RSEXTON WEST
April 4, 2025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66AA-8D8F-4714-84A4-594EC54A5D5D}">
  <sheetPr transitionEvaluation="1">
    <tabColor theme="9" tint="0.59999389629810485"/>
    <pageSetUpPr fitToPage="1"/>
  </sheetPr>
  <dimension ref="A1:HC61"/>
  <sheetViews>
    <sheetView defaultGridColor="0" view="pageBreakPreview" colorId="22" zoomScaleNormal="110" zoomScaleSheetLayoutView="100" workbookViewId="0">
      <selection activeCell="E11" sqref="E11"/>
    </sheetView>
  </sheetViews>
  <sheetFormatPr defaultColWidth="9" defaultRowHeight="15.5"/>
  <cols>
    <col min="1" max="1" width="8.23046875" style="4" customWidth="1"/>
    <col min="2" max="6" width="11.84375" style="3" customWidth="1"/>
    <col min="7" max="7" width="6.4609375" style="3" customWidth="1"/>
    <col min="8" max="8" width="3.07421875" style="3" customWidth="1"/>
    <col min="9" max="9" width="9" style="34"/>
    <col min="10" max="10" width="9" style="3"/>
    <col min="11" max="11" width="11.23046875" style="3" bestFit="1" customWidth="1"/>
    <col min="12" max="16384" width="9" style="3"/>
  </cols>
  <sheetData>
    <row r="1" spans="1:211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1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1" ht="30" customHeight="1">
      <c r="A3" s="217" t="str">
        <f>'Moulded Panel'!A3</f>
        <v>SEXTON WEST</v>
      </c>
      <c r="B3" s="217"/>
      <c r="C3" s="217"/>
      <c r="D3" s="217"/>
      <c r="E3" s="217"/>
      <c r="F3" s="217"/>
      <c r="G3" s="217"/>
    </row>
    <row r="4" spans="1:211" ht="11.25" customHeight="1">
      <c r="A4" s="3"/>
      <c r="C4" s="4"/>
      <c r="D4" s="1"/>
      <c r="E4" s="2"/>
      <c r="F4" s="2"/>
      <c r="G4" s="2"/>
      <c r="H4" s="1"/>
      <c r="K4" s="34"/>
    </row>
    <row r="5" spans="1:211" ht="13.5" customHeight="1">
      <c r="A5" s="3"/>
      <c r="C5" s="4"/>
      <c r="D5" s="11"/>
      <c r="E5" s="11"/>
      <c r="F5" s="11"/>
      <c r="G5" s="11"/>
      <c r="H5" s="12"/>
      <c r="I5" s="9"/>
      <c r="K5" s="34"/>
    </row>
    <row r="6" spans="1:211" ht="20.25" customHeight="1">
      <c r="A6" s="218" t="s">
        <v>50</v>
      </c>
      <c r="B6" s="1"/>
      <c r="E6" s="11"/>
      <c r="F6" s="11"/>
      <c r="G6" s="11"/>
      <c r="H6" s="1"/>
      <c r="I6" s="1"/>
      <c r="K6" s="34"/>
    </row>
    <row r="7" spans="1:211" ht="20.25" customHeight="1">
      <c r="A7" s="218"/>
      <c r="B7" s="1"/>
      <c r="E7" s="11"/>
      <c r="F7" s="11"/>
      <c r="G7" s="11"/>
      <c r="H7" s="1"/>
      <c r="I7" s="1"/>
      <c r="K7" s="34"/>
    </row>
    <row r="8" spans="1:211" ht="15.75" customHeight="1">
      <c r="A8" s="218"/>
      <c r="B8" s="1"/>
      <c r="E8" s="11"/>
      <c r="F8" s="11"/>
      <c r="G8" s="11"/>
      <c r="H8" s="1"/>
      <c r="I8" s="1"/>
      <c r="K8" s="34"/>
    </row>
    <row r="9" spans="1:211" ht="15.75" customHeight="1">
      <c r="A9" s="218"/>
      <c r="B9" s="1"/>
      <c r="E9" s="11"/>
      <c r="F9" s="11"/>
      <c r="G9" s="11"/>
      <c r="H9" s="1"/>
      <c r="I9" s="1"/>
      <c r="K9" s="34"/>
    </row>
    <row r="10" spans="1:211" ht="20.25" customHeight="1">
      <c r="A10" s="218"/>
      <c r="B10" s="1"/>
      <c r="E10" s="11"/>
      <c r="F10" s="11"/>
      <c r="G10" s="11"/>
      <c r="H10" s="1"/>
      <c r="I10" s="1"/>
      <c r="K10" s="34"/>
    </row>
    <row r="11" spans="1:211" ht="20.25" customHeight="1">
      <c r="A11" s="218"/>
      <c r="B11" s="1"/>
      <c r="E11" s="11"/>
      <c r="F11" s="11"/>
      <c r="G11" s="11"/>
      <c r="H11" s="1"/>
      <c r="I11" s="1"/>
      <c r="K11" s="34"/>
    </row>
    <row r="12" spans="1:211" ht="9" customHeight="1" thickBot="1">
      <c r="B12" s="5"/>
      <c r="E12" s="11"/>
      <c r="F12" s="11"/>
      <c r="G12" s="11"/>
      <c r="H12" s="7"/>
      <c r="I12" s="7"/>
      <c r="K12" s="34"/>
    </row>
    <row r="13" spans="1:211" ht="38.25" customHeight="1" thickTop="1" thickBot="1">
      <c r="A13" s="16"/>
      <c r="B13" s="15" t="s">
        <v>15</v>
      </c>
      <c r="E13" s="11"/>
      <c r="F13" s="11"/>
      <c r="G13" s="11"/>
      <c r="H13" s="36"/>
      <c r="I13" s="37"/>
      <c r="J13" s="13"/>
      <c r="K13" s="3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</row>
    <row r="14" spans="1:211" ht="16.5" thickTop="1" thickBot="1">
      <c r="A14" s="20" t="s">
        <v>9</v>
      </c>
      <c r="B14" s="19" t="s">
        <v>12</v>
      </c>
      <c r="E14" s="11"/>
      <c r="F14" s="11"/>
      <c r="G14" s="11"/>
      <c r="H14" s="38"/>
      <c r="I14" s="14"/>
      <c r="J14" s="13"/>
      <c r="K14" s="3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</row>
    <row r="15" spans="1:211" ht="16.5" thickTop="1" thickBot="1">
      <c r="A15" s="20" t="s">
        <v>10</v>
      </c>
      <c r="B15" s="19" t="s">
        <v>13</v>
      </c>
      <c r="E15" s="11"/>
      <c r="F15" s="11"/>
      <c r="G15" s="11"/>
      <c r="H15" s="14"/>
      <c r="I15" s="14"/>
      <c r="J15" s="13"/>
      <c r="K15" s="3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</row>
    <row r="16" spans="1:211" ht="16.5" customHeight="1" thickTop="1" thickBot="1">
      <c r="A16" s="3"/>
      <c r="C16" s="8"/>
      <c r="D16" s="10"/>
      <c r="E16" s="11"/>
      <c r="F16" s="11"/>
      <c r="G16" s="11"/>
      <c r="H16" s="10"/>
      <c r="I16" s="10"/>
      <c r="J16" s="13"/>
      <c r="K16" s="3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</row>
    <row r="17" spans="1:209" ht="36" customHeight="1" thickTop="1" thickBot="1">
      <c r="A17" s="225" t="s">
        <v>3</v>
      </c>
      <c r="B17" s="226"/>
      <c r="C17" s="226"/>
      <c r="D17" s="227"/>
      <c r="E17" s="40" t="s">
        <v>105</v>
      </c>
      <c r="F17" s="40" t="s">
        <v>54</v>
      </c>
      <c r="G17" s="52"/>
      <c r="H17" s="13"/>
      <c r="I17" s="3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</row>
    <row r="18" spans="1:209" ht="30" customHeight="1" thickTop="1" thickBot="1">
      <c r="A18" s="229" t="s">
        <v>2</v>
      </c>
      <c r="B18" s="229"/>
      <c r="C18" s="229"/>
      <c r="D18" s="229"/>
      <c r="E18" s="229"/>
      <c r="F18" s="229"/>
      <c r="G18" s="25"/>
      <c r="H18" s="13"/>
      <c r="I18" s="3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</row>
    <row r="19" spans="1:209">
      <c r="A19" s="230" t="s">
        <v>30</v>
      </c>
      <c r="B19" s="231"/>
      <c r="C19" s="232" t="s">
        <v>31</v>
      </c>
      <c r="D19" s="250"/>
      <c r="E19" s="133" t="s">
        <v>49</v>
      </c>
      <c r="F19" s="133" t="s">
        <v>49</v>
      </c>
      <c r="G19" s="26"/>
      <c r="H19" s="13"/>
      <c r="I19" s="4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</row>
    <row r="20" spans="1:209">
      <c r="A20" s="233" t="s">
        <v>32</v>
      </c>
      <c r="B20" s="234"/>
      <c r="C20" s="235" t="s">
        <v>39</v>
      </c>
      <c r="D20" s="251"/>
      <c r="E20" s="134" t="s">
        <v>49</v>
      </c>
      <c r="F20" s="134" t="s">
        <v>49</v>
      </c>
      <c r="G20" s="26"/>
      <c r="H20" s="13"/>
      <c r="I20" s="4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</row>
    <row r="21" spans="1:209">
      <c r="A21" s="233" t="s">
        <v>33</v>
      </c>
      <c r="B21" s="234"/>
      <c r="C21" s="235" t="s">
        <v>40</v>
      </c>
      <c r="D21" s="251"/>
      <c r="E21" s="134" t="s">
        <v>49</v>
      </c>
      <c r="F21" s="134" t="s">
        <v>49</v>
      </c>
      <c r="G21" s="26"/>
      <c r="H21" s="13"/>
      <c r="I21" s="4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</row>
    <row r="22" spans="1:209">
      <c r="A22" s="233" t="s">
        <v>28</v>
      </c>
      <c r="B22" s="234"/>
      <c r="C22" s="235" t="s">
        <v>29</v>
      </c>
      <c r="D22" s="251"/>
      <c r="E22" s="134" t="s">
        <v>49</v>
      </c>
      <c r="F22" s="134" t="s">
        <v>49</v>
      </c>
      <c r="G22" s="26"/>
      <c r="H22" s="13"/>
      <c r="I22" s="4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</row>
    <row r="23" spans="1:209">
      <c r="A23" s="233" t="s">
        <v>34</v>
      </c>
      <c r="B23" s="234"/>
      <c r="C23" s="235" t="s">
        <v>41</v>
      </c>
      <c r="D23" s="251"/>
      <c r="E23" s="134" t="s">
        <v>49</v>
      </c>
      <c r="F23" s="134" t="s">
        <v>49</v>
      </c>
      <c r="G23" s="26"/>
      <c r="H23" s="13"/>
      <c r="I23" s="4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</row>
    <row r="24" spans="1:209">
      <c r="A24" s="233" t="s">
        <v>35</v>
      </c>
      <c r="B24" s="234"/>
      <c r="C24" s="235" t="s">
        <v>42</v>
      </c>
      <c r="D24" s="251"/>
      <c r="E24" s="134" t="s">
        <v>49</v>
      </c>
      <c r="F24" s="134" t="s">
        <v>49</v>
      </c>
      <c r="G24" s="26"/>
      <c r="H24" s="13"/>
      <c r="I24" s="4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</row>
    <row r="25" spans="1:209">
      <c r="A25" s="233" t="s">
        <v>20</v>
      </c>
      <c r="B25" s="234"/>
      <c r="C25" s="235" t="s">
        <v>43</v>
      </c>
      <c r="D25" s="251"/>
      <c r="E25" s="134" t="s">
        <v>49</v>
      </c>
      <c r="F25" s="134" t="s">
        <v>49</v>
      </c>
      <c r="G25" s="26"/>
      <c r="H25" s="13"/>
      <c r="I25" s="4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</row>
    <row r="26" spans="1:209" s="32" customFormat="1">
      <c r="A26" s="233" t="s">
        <v>36</v>
      </c>
      <c r="B26" s="234"/>
      <c r="C26" s="235" t="s">
        <v>44</v>
      </c>
      <c r="D26" s="251"/>
      <c r="E26" s="138" t="s">
        <v>49</v>
      </c>
      <c r="F26" s="138" t="s">
        <v>49</v>
      </c>
      <c r="G26" s="53"/>
      <c r="H26" s="13"/>
      <c r="I26" s="43"/>
      <c r="J26" s="13"/>
      <c r="K26" s="13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</row>
    <row r="27" spans="1:209" s="32" customFormat="1">
      <c r="A27" s="233" t="s">
        <v>37</v>
      </c>
      <c r="B27" s="234"/>
      <c r="C27" s="235" t="s">
        <v>45</v>
      </c>
      <c r="D27" s="251"/>
      <c r="E27" s="138" t="s">
        <v>49</v>
      </c>
      <c r="F27" s="138" t="s">
        <v>49</v>
      </c>
      <c r="G27" s="53"/>
      <c r="H27" s="13"/>
      <c r="I27" s="43"/>
      <c r="J27" s="13"/>
      <c r="K27" s="13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</row>
    <row r="28" spans="1:209" ht="15.75" customHeight="1">
      <c r="A28" s="233" t="s">
        <v>21</v>
      </c>
      <c r="B28" s="234"/>
      <c r="C28" s="235" t="s">
        <v>46</v>
      </c>
      <c r="D28" s="251"/>
      <c r="E28" s="134" t="s">
        <v>49</v>
      </c>
      <c r="F28" s="134" t="s">
        <v>49</v>
      </c>
      <c r="G28" s="26"/>
      <c r="H28" s="13"/>
      <c r="I28" s="4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</row>
    <row r="29" spans="1:209">
      <c r="A29" s="233" t="s">
        <v>22</v>
      </c>
      <c r="B29" s="234"/>
      <c r="C29" s="235" t="s">
        <v>27</v>
      </c>
      <c r="D29" s="251"/>
      <c r="E29" s="134" t="s">
        <v>49</v>
      </c>
      <c r="F29" s="134" t="s">
        <v>49</v>
      </c>
      <c r="G29" s="26"/>
      <c r="H29" s="13"/>
      <c r="I29" s="4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</row>
    <row r="30" spans="1:209">
      <c r="A30" s="233" t="s">
        <v>38</v>
      </c>
      <c r="B30" s="234"/>
      <c r="C30" s="235" t="s">
        <v>47</v>
      </c>
      <c r="D30" s="251"/>
      <c r="E30" s="134" t="s">
        <v>49</v>
      </c>
      <c r="F30" s="134" t="s">
        <v>49</v>
      </c>
      <c r="G30" s="26"/>
      <c r="H30" s="13"/>
      <c r="I30" s="43"/>
      <c r="J30" s="13"/>
      <c r="K30" s="13"/>
    </row>
    <row r="31" spans="1:209" ht="16.149999999999999" customHeight="1" thickBot="1">
      <c r="A31" s="253" t="s">
        <v>24</v>
      </c>
      <c r="B31" s="254"/>
      <c r="C31" s="255" t="s">
        <v>25</v>
      </c>
      <c r="D31" s="256"/>
      <c r="E31" s="135" t="s">
        <v>49</v>
      </c>
      <c r="F31" s="135" t="s">
        <v>49</v>
      </c>
      <c r="G31" s="26"/>
      <c r="H31" s="13"/>
      <c r="I31" s="43"/>
      <c r="J31" s="13"/>
      <c r="K31" s="13"/>
    </row>
    <row r="32" spans="1:209" s="34" customFormat="1" ht="30.75" customHeight="1" thickBot="1">
      <c r="A32" s="228" t="s">
        <v>1</v>
      </c>
      <c r="B32" s="228"/>
      <c r="C32" s="228"/>
      <c r="D32" s="228"/>
      <c r="E32" s="228"/>
      <c r="F32" s="228"/>
      <c r="G32" s="25"/>
      <c r="H32" s="3"/>
      <c r="I32" s="4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</row>
    <row r="33" spans="1:209" s="34" customFormat="1" ht="15" customHeight="1">
      <c r="A33" s="230" t="s">
        <v>30</v>
      </c>
      <c r="B33" s="231"/>
      <c r="C33" s="232" t="s">
        <v>31</v>
      </c>
      <c r="D33" s="250"/>
      <c r="E33" s="133">
        <v>204.45</v>
      </c>
      <c r="F33" s="133">
        <v>176.85000000000002</v>
      </c>
      <c r="G33" s="26"/>
      <c r="H33" s="3"/>
      <c r="I33" s="140">
        <f>F33/E33</f>
        <v>0.86500366837857678</v>
      </c>
      <c r="J33" s="4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</row>
    <row r="34" spans="1:209" s="34" customFormat="1" ht="15" customHeight="1">
      <c r="A34" s="233" t="s">
        <v>32</v>
      </c>
      <c r="B34" s="234"/>
      <c r="C34" s="235" t="s">
        <v>39</v>
      </c>
      <c r="D34" s="251"/>
      <c r="E34" s="134">
        <v>204.45</v>
      </c>
      <c r="F34" s="134">
        <v>176.85000000000002</v>
      </c>
      <c r="G34" s="26"/>
      <c r="H34" s="3"/>
      <c r="I34" s="140">
        <f t="shared" ref="I34:I47" si="0">F34/E34</f>
        <v>0.86500366837857678</v>
      </c>
      <c r="J34" s="4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</row>
    <row r="35" spans="1:209" s="34" customFormat="1" ht="15" customHeight="1">
      <c r="A35" s="233" t="s">
        <v>33</v>
      </c>
      <c r="B35" s="234"/>
      <c r="C35" s="235" t="s">
        <v>40</v>
      </c>
      <c r="D35" s="251"/>
      <c r="E35" s="134">
        <v>204.45</v>
      </c>
      <c r="F35" s="134">
        <v>176.85000000000002</v>
      </c>
      <c r="G35" s="26"/>
      <c r="H35" s="3"/>
      <c r="I35" s="140">
        <f t="shared" si="0"/>
        <v>0.86500366837857678</v>
      </c>
      <c r="J35" s="4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</row>
    <row r="36" spans="1:209" s="34" customFormat="1" ht="15" customHeight="1">
      <c r="A36" s="233" t="s">
        <v>28</v>
      </c>
      <c r="B36" s="234"/>
      <c r="C36" s="235" t="s">
        <v>29</v>
      </c>
      <c r="D36" s="251"/>
      <c r="E36" s="134">
        <v>204.45</v>
      </c>
      <c r="F36" s="134">
        <v>176.85000000000002</v>
      </c>
      <c r="G36" s="26"/>
      <c r="H36" s="3"/>
      <c r="I36" s="140">
        <f t="shared" si="0"/>
        <v>0.86500366837857678</v>
      </c>
      <c r="J36" s="4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</row>
    <row r="37" spans="1:209" s="34" customFormat="1" ht="15" customHeight="1">
      <c r="A37" s="233" t="s">
        <v>34</v>
      </c>
      <c r="B37" s="234"/>
      <c r="C37" s="235" t="s">
        <v>41</v>
      </c>
      <c r="D37" s="251"/>
      <c r="E37" s="134">
        <v>208.3</v>
      </c>
      <c r="F37" s="134">
        <v>180.20000000000002</v>
      </c>
      <c r="G37" s="26"/>
      <c r="H37" s="3"/>
      <c r="I37" s="140">
        <f t="shared" si="0"/>
        <v>0.86509841574651947</v>
      </c>
      <c r="J37" s="4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</row>
    <row r="38" spans="1:209" s="34" customFormat="1" ht="15" customHeight="1">
      <c r="A38" s="233" t="s">
        <v>35</v>
      </c>
      <c r="B38" s="234"/>
      <c r="C38" s="235" t="s">
        <v>42</v>
      </c>
      <c r="D38" s="251"/>
      <c r="E38" s="134">
        <v>208.3</v>
      </c>
      <c r="F38" s="134">
        <v>180.20000000000002</v>
      </c>
      <c r="G38" s="26"/>
      <c r="H38" s="3"/>
      <c r="I38" s="140">
        <f t="shared" si="0"/>
        <v>0.86509841574651947</v>
      </c>
      <c r="J38" s="4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</row>
    <row r="39" spans="1:209" s="34" customFormat="1" ht="15" customHeight="1">
      <c r="A39" s="233" t="s">
        <v>20</v>
      </c>
      <c r="B39" s="234"/>
      <c r="C39" s="235" t="s">
        <v>43</v>
      </c>
      <c r="D39" s="251"/>
      <c r="E39" s="134">
        <v>208.3</v>
      </c>
      <c r="F39" s="134">
        <v>180.20000000000002</v>
      </c>
      <c r="G39" s="26"/>
      <c r="H39" s="3"/>
      <c r="I39" s="140">
        <f t="shared" si="0"/>
        <v>0.86509841574651947</v>
      </c>
      <c r="J39" s="4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</row>
    <row r="40" spans="1:209" s="34" customFormat="1" ht="15" customHeight="1">
      <c r="A40" s="233" t="s">
        <v>36</v>
      </c>
      <c r="B40" s="234"/>
      <c r="C40" s="235" t="s">
        <v>44</v>
      </c>
      <c r="D40" s="251"/>
      <c r="E40" s="134">
        <v>211.15</v>
      </c>
      <c r="F40" s="134">
        <v>182.65</v>
      </c>
      <c r="G40" s="26"/>
      <c r="H40" s="3"/>
      <c r="I40" s="140">
        <f t="shared" si="0"/>
        <v>0.86502486384087141</v>
      </c>
      <c r="J40" s="4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</row>
    <row r="41" spans="1:209" s="34" customFormat="1" ht="15" customHeight="1">
      <c r="A41" s="233" t="s">
        <v>37</v>
      </c>
      <c r="B41" s="234"/>
      <c r="C41" s="235" t="s">
        <v>45</v>
      </c>
      <c r="D41" s="251"/>
      <c r="E41" s="134">
        <v>211.15</v>
      </c>
      <c r="F41" s="134">
        <v>182.65</v>
      </c>
      <c r="G41" s="26"/>
      <c r="H41" s="3"/>
      <c r="I41" s="140">
        <f t="shared" si="0"/>
        <v>0.86502486384087141</v>
      </c>
      <c r="J41" s="4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</row>
    <row r="42" spans="1:209" s="34" customFormat="1">
      <c r="A42" s="233" t="s">
        <v>21</v>
      </c>
      <c r="B42" s="234"/>
      <c r="C42" s="235" t="s">
        <v>46</v>
      </c>
      <c r="D42" s="251"/>
      <c r="E42" s="134">
        <v>211.15</v>
      </c>
      <c r="F42" s="134">
        <v>182.65</v>
      </c>
      <c r="G42" s="26"/>
      <c r="H42" s="3"/>
      <c r="I42" s="140">
        <f t="shared" si="0"/>
        <v>0.86502486384087141</v>
      </c>
      <c r="J42" s="4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</row>
    <row r="43" spans="1:209" s="34" customFormat="1">
      <c r="A43" s="233" t="s">
        <v>22</v>
      </c>
      <c r="B43" s="234"/>
      <c r="C43" s="235" t="s">
        <v>27</v>
      </c>
      <c r="D43" s="251"/>
      <c r="E43" s="134">
        <v>213.95</v>
      </c>
      <c r="F43" s="134">
        <v>185.05</v>
      </c>
      <c r="G43" s="26"/>
      <c r="H43" s="3"/>
      <c r="I43" s="140">
        <f t="shared" si="0"/>
        <v>0.86492171068006551</v>
      </c>
      <c r="J43" s="4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</row>
    <row r="44" spans="1:209" s="34" customFormat="1">
      <c r="A44" s="233" t="s">
        <v>38</v>
      </c>
      <c r="B44" s="234"/>
      <c r="C44" s="235" t="s">
        <v>47</v>
      </c>
      <c r="D44" s="251"/>
      <c r="E44" s="134">
        <v>217.95</v>
      </c>
      <c r="F44" s="134">
        <v>188.55</v>
      </c>
      <c r="G44" s="26"/>
      <c r="H44" s="3"/>
      <c r="I44" s="140">
        <f t="shared" si="0"/>
        <v>0.86510667584308343</v>
      </c>
      <c r="J44" s="4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</row>
    <row r="45" spans="1:209" s="34" customFormat="1" ht="16.149999999999999" customHeight="1">
      <c r="A45" s="233" t="s">
        <v>24</v>
      </c>
      <c r="B45" s="234"/>
      <c r="C45" s="235" t="s">
        <v>25</v>
      </c>
      <c r="D45" s="251"/>
      <c r="E45" s="134">
        <v>217.95</v>
      </c>
      <c r="F45" s="134">
        <v>188.55</v>
      </c>
      <c r="G45" s="26"/>
      <c r="H45" s="3"/>
      <c r="I45" s="140">
        <f t="shared" si="0"/>
        <v>0.86510667584308343</v>
      </c>
      <c r="J45" s="4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</row>
    <row r="46" spans="1:209" s="34" customFormat="1" ht="16.149999999999999" customHeight="1">
      <c r="A46" s="236" t="s">
        <v>59</v>
      </c>
      <c r="B46" s="237"/>
      <c r="C46" s="237"/>
      <c r="D46" s="238"/>
      <c r="E46" s="134">
        <v>13.8</v>
      </c>
      <c r="F46" s="134">
        <v>11.950000000000001</v>
      </c>
      <c r="G46" s="26"/>
      <c r="H46" s="3"/>
      <c r="I46" s="140">
        <f t="shared" si="0"/>
        <v>0.86594202898550732</v>
      </c>
      <c r="J46" s="4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</row>
    <row r="47" spans="1:209" s="34" customFormat="1" ht="16.149999999999999" customHeight="1" thickBot="1">
      <c r="A47" s="239" t="s">
        <v>60</v>
      </c>
      <c r="B47" s="240"/>
      <c r="C47" s="240"/>
      <c r="D47" s="241"/>
      <c r="E47" s="135">
        <v>102.80000000000001</v>
      </c>
      <c r="F47" s="135">
        <v>88.9</v>
      </c>
      <c r="G47" s="26"/>
      <c r="H47" s="3"/>
      <c r="I47" s="140">
        <f t="shared" si="0"/>
        <v>0.86478599221789876</v>
      </c>
      <c r="J47" s="4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</row>
    <row r="48" spans="1:209" ht="21.75" customHeight="1">
      <c r="I48" s="43"/>
    </row>
    <row r="49" spans="9:9">
      <c r="I49" s="43"/>
    </row>
    <row r="50" spans="9:9">
      <c r="I50" s="43"/>
    </row>
    <row r="51" spans="9:9">
      <c r="I51" s="43"/>
    </row>
    <row r="52" spans="9:9">
      <c r="I52" s="43"/>
    </row>
    <row r="53" spans="9:9">
      <c r="I53" s="43"/>
    </row>
    <row r="54" spans="9:9">
      <c r="I54" s="43"/>
    </row>
    <row r="55" spans="9:9">
      <c r="I55" s="43"/>
    </row>
    <row r="56" spans="9:9">
      <c r="I56" s="43"/>
    </row>
    <row r="57" spans="9:9">
      <c r="I57" s="43"/>
    </row>
    <row r="58" spans="9:9">
      <c r="I58" s="43"/>
    </row>
    <row r="59" spans="9:9">
      <c r="I59" s="43"/>
    </row>
    <row r="60" spans="9:9">
      <c r="I60" s="43"/>
    </row>
    <row r="61" spans="9:9">
      <c r="I61" s="43"/>
    </row>
  </sheetData>
  <mergeCells count="61">
    <mergeCell ref="A46:D46"/>
    <mergeCell ref="A47:D47"/>
    <mergeCell ref="A44:B44"/>
    <mergeCell ref="C44:D44"/>
    <mergeCell ref="A45:B45"/>
    <mergeCell ref="C45:D45"/>
    <mergeCell ref="A41:B41"/>
    <mergeCell ref="C41:D41"/>
    <mergeCell ref="A42:B42"/>
    <mergeCell ref="C42:D42"/>
    <mergeCell ref="A43:B43"/>
    <mergeCell ref="C43:D43"/>
    <mergeCell ref="A38:B38"/>
    <mergeCell ref="C38:D38"/>
    <mergeCell ref="A39:B39"/>
    <mergeCell ref="C39:D39"/>
    <mergeCell ref="A40:B40"/>
    <mergeCell ref="C40:D40"/>
    <mergeCell ref="A35:B35"/>
    <mergeCell ref="C35:D35"/>
    <mergeCell ref="A36:B36"/>
    <mergeCell ref="C36:D36"/>
    <mergeCell ref="A37:B37"/>
    <mergeCell ref="C37:D37"/>
    <mergeCell ref="A31:B31"/>
    <mergeCell ref="C31:D31"/>
    <mergeCell ref="A33:B33"/>
    <mergeCell ref="C33:D33"/>
    <mergeCell ref="A34:B34"/>
    <mergeCell ref="C34:D34"/>
    <mergeCell ref="A32:F3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8:F18"/>
    <mergeCell ref="A1:G1"/>
    <mergeCell ref="A6:A11"/>
    <mergeCell ref="A17:D17"/>
    <mergeCell ref="A3:G3"/>
    <mergeCell ref="A2:G2"/>
  </mergeCells>
  <printOptions horizontalCentered="1"/>
  <pageMargins left="0.31496062992126" right="0.31496062992126" top="0.55118110236220497" bottom="0.35433070866141703" header="0.31496062992126" footer="0.31496062992126"/>
  <pageSetup scale="88" orientation="portrait" r:id="rId1"/>
  <headerFooter alignWithMargins="0">
    <oddFooter>&amp;L&amp;P
&amp;RSEXTON WEST
April 4, 2025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7918-A981-4082-B835-FF833D51DA1A}">
  <sheetPr transitionEvaluation="1">
    <tabColor theme="9" tint="0.59999389629810485"/>
    <pageSetUpPr fitToPage="1"/>
  </sheetPr>
  <dimension ref="A1:HC61"/>
  <sheetViews>
    <sheetView defaultGridColor="0" view="pageBreakPreview" colorId="22" zoomScale="90" zoomScaleNormal="110" zoomScaleSheetLayoutView="90" workbookViewId="0">
      <selection activeCell="D10" sqref="D10"/>
    </sheetView>
  </sheetViews>
  <sheetFormatPr defaultColWidth="9" defaultRowHeight="15.5"/>
  <cols>
    <col min="1" max="1" width="8.23046875" style="4" customWidth="1"/>
    <col min="2" max="6" width="11.84375" style="3" customWidth="1"/>
    <col min="7" max="7" width="6.4609375" style="3" customWidth="1"/>
    <col min="8" max="8" width="3.07421875" style="3" customWidth="1"/>
    <col min="9" max="9" width="9.4609375" style="34" bestFit="1" customWidth="1"/>
    <col min="10" max="10" width="9" style="3"/>
    <col min="11" max="11" width="11.23046875" style="3" bestFit="1" customWidth="1"/>
    <col min="12" max="16384" width="9" style="3"/>
  </cols>
  <sheetData>
    <row r="1" spans="1:211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1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1" ht="30" customHeight="1">
      <c r="A3" s="217" t="str">
        <f>'Moulded Panel'!A3</f>
        <v>SEXTON WEST</v>
      </c>
      <c r="B3" s="217"/>
      <c r="C3" s="217"/>
      <c r="D3" s="217"/>
      <c r="E3" s="217"/>
      <c r="F3" s="217"/>
      <c r="G3" s="217"/>
    </row>
    <row r="4" spans="1:211" ht="11.25" customHeight="1">
      <c r="A4" s="3"/>
      <c r="C4" s="4"/>
      <c r="D4" s="1"/>
      <c r="E4" s="2"/>
      <c r="F4" s="2"/>
      <c r="G4" s="2"/>
      <c r="H4" s="1"/>
      <c r="K4" s="34"/>
    </row>
    <row r="5" spans="1:211" ht="13.5" customHeight="1">
      <c r="A5" s="3"/>
      <c r="C5" s="4"/>
      <c r="D5" s="11"/>
      <c r="E5" s="11"/>
      <c r="F5" s="11"/>
      <c r="G5" s="11"/>
      <c r="H5" s="12"/>
      <c r="I5" s="9"/>
      <c r="K5" s="34"/>
    </row>
    <row r="6" spans="1:211" ht="20.25" customHeight="1">
      <c r="A6" s="218" t="s">
        <v>50</v>
      </c>
      <c r="B6" s="1"/>
      <c r="E6" s="11"/>
      <c r="F6" s="11"/>
      <c r="G6" s="11"/>
      <c r="H6" s="1"/>
      <c r="I6" s="1"/>
      <c r="K6" s="34"/>
    </row>
    <row r="7" spans="1:211" ht="20.25" customHeight="1">
      <c r="A7" s="218"/>
      <c r="B7" s="1"/>
      <c r="E7" s="11"/>
      <c r="F7" s="11"/>
      <c r="G7" s="11"/>
      <c r="H7" s="1"/>
      <c r="I7" s="1"/>
      <c r="K7" s="34"/>
    </row>
    <row r="8" spans="1:211" ht="15.75" customHeight="1">
      <c r="A8" s="218"/>
      <c r="B8" s="1"/>
      <c r="E8" s="11"/>
      <c r="F8" s="11"/>
      <c r="G8" s="11"/>
      <c r="H8" s="1"/>
      <c r="I8" s="1"/>
      <c r="K8" s="34"/>
    </row>
    <row r="9" spans="1:211" ht="15.75" customHeight="1">
      <c r="A9" s="218"/>
      <c r="B9" s="1"/>
      <c r="E9" s="11"/>
      <c r="F9" s="11"/>
      <c r="G9" s="11"/>
      <c r="H9" s="1"/>
      <c r="I9" s="1"/>
      <c r="K9" s="34"/>
    </row>
    <row r="10" spans="1:211" ht="20.25" customHeight="1">
      <c r="A10" s="218"/>
      <c r="B10" s="1"/>
      <c r="E10" s="11"/>
      <c r="F10" s="11"/>
      <c r="G10" s="11"/>
      <c r="H10" s="1"/>
      <c r="I10" s="1"/>
      <c r="K10" s="34"/>
    </row>
    <row r="11" spans="1:211" ht="20.25" customHeight="1">
      <c r="A11" s="218"/>
      <c r="B11" s="1"/>
      <c r="E11" s="11"/>
      <c r="F11" s="11"/>
      <c r="G11" s="11"/>
      <c r="H11" s="1"/>
      <c r="I11" s="1"/>
      <c r="K11" s="34"/>
    </row>
    <row r="12" spans="1:211" ht="9" customHeight="1" thickBot="1">
      <c r="B12" s="5"/>
      <c r="E12" s="11"/>
      <c r="F12" s="11"/>
      <c r="G12" s="11"/>
      <c r="H12" s="7"/>
      <c r="I12" s="7"/>
      <c r="K12" s="34"/>
    </row>
    <row r="13" spans="1:211" ht="38.25" customHeight="1" thickTop="1" thickBot="1">
      <c r="A13" s="16"/>
      <c r="B13" s="15" t="s">
        <v>15</v>
      </c>
      <c r="E13" s="11"/>
      <c r="F13" s="11"/>
      <c r="G13" s="11"/>
      <c r="H13" s="36"/>
      <c r="I13" s="37"/>
      <c r="J13" s="13"/>
      <c r="K13" s="3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</row>
    <row r="14" spans="1:211" ht="16.5" thickTop="1" thickBot="1">
      <c r="A14" s="20" t="s">
        <v>9</v>
      </c>
      <c r="B14" s="19" t="s">
        <v>12</v>
      </c>
      <c r="E14" s="11"/>
      <c r="F14" s="11"/>
      <c r="G14" s="11"/>
      <c r="H14" s="38"/>
      <c r="I14" s="14"/>
      <c r="J14" s="13"/>
      <c r="K14" s="3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</row>
    <row r="15" spans="1:211" ht="16.5" thickTop="1" thickBot="1">
      <c r="A15" s="20" t="s">
        <v>10</v>
      </c>
      <c r="B15" s="19" t="s">
        <v>13</v>
      </c>
      <c r="E15" s="11"/>
      <c r="F15" s="11"/>
      <c r="G15" s="11"/>
      <c r="H15" s="14"/>
      <c r="I15" s="14"/>
      <c r="J15" s="13"/>
      <c r="K15" s="3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</row>
    <row r="16" spans="1:211" ht="16.5" customHeight="1" thickTop="1" thickBot="1">
      <c r="A16" s="3"/>
      <c r="C16" s="8"/>
      <c r="D16" s="10"/>
      <c r="E16" s="11"/>
      <c r="F16" s="11"/>
      <c r="G16" s="11"/>
      <c r="H16" s="10"/>
      <c r="I16" s="10"/>
      <c r="J16" s="13"/>
      <c r="K16" s="3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</row>
    <row r="17" spans="1:209" ht="36" customHeight="1" thickTop="1" thickBot="1">
      <c r="A17" s="225" t="s">
        <v>3</v>
      </c>
      <c r="B17" s="226"/>
      <c r="C17" s="226"/>
      <c r="D17" s="227"/>
      <c r="E17" s="40" t="s">
        <v>105</v>
      </c>
      <c r="F17" s="40" t="s">
        <v>54</v>
      </c>
      <c r="G17" s="52"/>
      <c r="H17" s="13"/>
      <c r="I17" s="3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</row>
    <row r="18" spans="1:209" ht="30" customHeight="1" thickTop="1" thickBot="1">
      <c r="A18" s="249" t="s">
        <v>111</v>
      </c>
      <c r="B18" s="249"/>
      <c r="C18" s="249"/>
      <c r="D18" s="249"/>
      <c r="E18" s="249"/>
      <c r="F18" s="249"/>
      <c r="G18" s="25"/>
      <c r="H18" s="13"/>
      <c r="I18" s="3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</row>
    <row r="19" spans="1:209">
      <c r="A19" s="230" t="s">
        <v>30</v>
      </c>
      <c r="B19" s="231"/>
      <c r="C19" s="232" t="s">
        <v>31</v>
      </c>
      <c r="D19" s="250"/>
      <c r="E19" s="133">
        <v>142.94999999999999</v>
      </c>
      <c r="F19" s="133">
        <v>123.65</v>
      </c>
      <c r="G19" s="26"/>
      <c r="H19" s="13"/>
      <c r="I19" s="140">
        <f t="shared" ref="I19:I33" si="0">F19/E19</f>
        <v>0.86498775795732785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</row>
    <row r="20" spans="1:209">
      <c r="A20" s="233" t="s">
        <v>32</v>
      </c>
      <c r="B20" s="234"/>
      <c r="C20" s="235" t="s">
        <v>39</v>
      </c>
      <c r="D20" s="251"/>
      <c r="E20" s="134">
        <v>142.94999999999999</v>
      </c>
      <c r="F20" s="134">
        <v>123.65</v>
      </c>
      <c r="G20" s="26"/>
      <c r="H20" s="13"/>
      <c r="I20" s="140">
        <f t="shared" si="0"/>
        <v>0.86498775795732785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</row>
    <row r="21" spans="1:209">
      <c r="A21" s="233" t="s">
        <v>33</v>
      </c>
      <c r="B21" s="234"/>
      <c r="C21" s="235" t="s">
        <v>40</v>
      </c>
      <c r="D21" s="251"/>
      <c r="E21" s="134">
        <v>142.94999999999999</v>
      </c>
      <c r="F21" s="134">
        <v>123.65</v>
      </c>
      <c r="G21" s="26"/>
      <c r="H21" s="13"/>
      <c r="I21" s="140">
        <f t="shared" si="0"/>
        <v>0.86498775795732785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</row>
    <row r="22" spans="1:209">
      <c r="A22" s="233" t="s">
        <v>28</v>
      </c>
      <c r="B22" s="234"/>
      <c r="C22" s="235" t="s">
        <v>29</v>
      </c>
      <c r="D22" s="251"/>
      <c r="E22" s="134">
        <v>142.94999999999999</v>
      </c>
      <c r="F22" s="134">
        <v>123.65</v>
      </c>
      <c r="G22" s="26"/>
      <c r="H22" s="13"/>
      <c r="I22" s="140">
        <f t="shared" si="0"/>
        <v>0.86498775795732785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</row>
    <row r="23" spans="1:209">
      <c r="A23" s="233" t="s">
        <v>34</v>
      </c>
      <c r="B23" s="234"/>
      <c r="C23" s="235" t="s">
        <v>41</v>
      </c>
      <c r="D23" s="251"/>
      <c r="E23" s="134">
        <v>146.80000000000001</v>
      </c>
      <c r="F23" s="134">
        <v>127</v>
      </c>
      <c r="G23" s="26"/>
      <c r="H23" s="13"/>
      <c r="I23" s="140">
        <f t="shared" si="0"/>
        <v>0.86512261580381467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</row>
    <row r="24" spans="1:209">
      <c r="A24" s="233" t="s">
        <v>35</v>
      </c>
      <c r="B24" s="234"/>
      <c r="C24" s="235" t="s">
        <v>42</v>
      </c>
      <c r="D24" s="251"/>
      <c r="E24" s="134">
        <v>146.80000000000001</v>
      </c>
      <c r="F24" s="134">
        <v>127</v>
      </c>
      <c r="G24" s="26"/>
      <c r="H24" s="13"/>
      <c r="I24" s="140">
        <f t="shared" si="0"/>
        <v>0.86512261580381467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</row>
    <row r="25" spans="1:209">
      <c r="A25" s="233" t="s">
        <v>20</v>
      </c>
      <c r="B25" s="234"/>
      <c r="C25" s="235" t="s">
        <v>43</v>
      </c>
      <c r="D25" s="251"/>
      <c r="E25" s="134">
        <v>146.80000000000001</v>
      </c>
      <c r="F25" s="134">
        <v>127</v>
      </c>
      <c r="G25" s="26"/>
      <c r="H25" s="13"/>
      <c r="I25" s="140">
        <f t="shared" si="0"/>
        <v>0.86512261580381467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</row>
    <row r="26" spans="1:209" s="32" customFormat="1">
      <c r="A26" s="233" t="s">
        <v>36</v>
      </c>
      <c r="B26" s="234"/>
      <c r="C26" s="235" t="s">
        <v>44</v>
      </c>
      <c r="D26" s="251"/>
      <c r="E26" s="134">
        <v>149.65</v>
      </c>
      <c r="F26" s="134">
        <v>129.45000000000002</v>
      </c>
      <c r="G26" s="53"/>
      <c r="H26" s="13"/>
      <c r="I26" s="140">
        <f t="shared" si="0"/>
        <v>0.8650183762111594</v>
      </c>
      <c r="J26" s="13"/>
      <c r="K26" s="13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</row>
    <row r="27" spans="1:209" s="32" customFormat="1">
      <c r="A27" s="233" t="s">
        <v>37</v>
      </c>
      <c r="B27" s="234"/>
      <c r="C27" s="235" t="s">
        <v>45</v>
      </c>
      <c r="D27" s="251"/>
      <c r="E27" s="134">
        <v>149.65</v>
      </c>
      <c r="F27" s="134">
        <v>129.45000000000002</v>
      </c>
      <c r="G27" s="53"/>
      <c r="H27" s="13"/>
      <c r="I27" s="140">
        <f t="shared" si="0"/>
        <v>0.8650183762111594</v>
      </c>
      <c r="J27" s="13"/>
      <c r="K27" s="13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</row>
    <row r="28" spans="1:209" ht="15.75" customHeight="1">
      <c r="A28" s="233" t="s">
        <v>21</v>
      </c>
      <c r="B28" s="234"/>
      <c r="C28" s="235" t="s">
        <v>46</v>
      </c>
      <c r="D28" s="251"/>
      <c r="E28" s="134">
        <v>149.65</v>
      </c>
      <c r="F28" s="134">
        <v>129.45000000000002</v>
      </c>
      <c r="G28" s="26"/>
      <c r="H28" s="13"/>
      <c r="I28" s="140">
        <f t="shared" si="0"/>
        <v>0.8650183762111594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</row>
    <row r="29" spans="1:209">
      <c r="A29" s="233" t="s">
        <v>22</v>
      </c>
      <c r="B29" s="234"/>
      <c r="C29" s="235" t="s">
        <v>27</v>
      </c>
      <c r="D29" s="251"/>
      <c r="E29" s="134">
        <v>152.44999999999999</v>
      </c>
      <c r="F29" s="134">
        <v>131.85</v>
      </c>
      <c r="G29" s="26"/>
      <c r="H29" s="13"/>
      <c r="I29" s="140">
        <f t="shared" si="0"/>
        <v>0.86487372909150539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</row>
    <row r="30" spans="1:209">
      <c r="A30" s="233" t="s">
        <v>38</v>
      </c>
      <c r="B30" s="234"/>
      <c r="C30" s="235" t="s">
        <v>47</v>
      </c>
      <c r="D30" s="251"/>
      <c r="E30" s="134">
        <v>156.44999999999999</v>
      </c>
      <c r="F30" s="134">
        <v>135.35</v>
      </c>
      <c r="G30" s="26"/>
      <c r="H30" s="13"/>
      <c r="I30" s="140">
        <f t="shared" si="0"/>
        <v>0.86513263023330145</v>
      </c>
      <c r="J30" s="13"/>
      <c r="K30" s="13"/>
    </row>
    <row r="31" spans="1:209" ht="16.149999999999999" customHeight="1">
      <c r="A31" s="233" t="s">
        <v>24</v>
      </c>
      <c r="B31" s="234"/>
      <c r="C31" s="235" t="s">
        <v>25</v>
      </c>
      <c r="D31" s="251"/>
      <c r="E31" s="134">
        <v>156.44999999999999</v>
      </c>
      <c r="F31" s="134">
        <v>135.35</v>
      </c>
      <c r="G31" s="26"/>
      <c r="H31" s="13"/>
      <c r="I31" s="140">
        <f t="shared" si="0"/>
        <v>0.86513263023330145</v>
      </c>
      <c r="J31" s="13"/>
      <c r="K31" s="13"/>
    </row>
    <row r="32" spans="1:209" ht="16.149999999999999" customHeight="1">
      <c r="A32" s="236" t="s">
        <v>59</v>
      </c>
      <c r="B32" s="237"/>
      <c r="C32" s="237"/>
      <c r="D32" s="238"/>
      <c r="E32" s="134">
        <v>30.75</v>
      </c>
      <c r="F32" s="134">
        <v>26.6</v>
      </c>
      <c r="G32" s="26"/>
      <c r="H32" s="13"/>
      <c r="I32" s="140">
        <f t="shared" si="0"/>
        <v>0.86504065040650413</v>
      </c>
      <c r="J32" s="13"/>
      <c r="K32" s="13"/>
    </row>
    <row r="33" spans="1:209" ht="16.149999999999999" customHeight="1" thickBot="1">
      <c r="A33" s="239" t="s">
        <v>60</v>
      </c>
      <c r="B33" s="240"/>
      <c r="C33" s="240"/>
      <c r="D33" s="241"/>
      <c r="E33" s="135">
        <v>85.350000000000009</v>
      </c>
      <c r="F33" s="135">
        <v>73.850000000000009</v>
      </c>
      <c r="G33" s="26"/>
      <c r="H33" s="13"/>
      <c r="I33" s="140">
        <f t="shared" si="0"/>
        <v>0.86526069127123606</v>
      </c>
      <c r="J33" s="13"/>
      <c r="K33" s="13"/>
    </row>
    <row r="34" spans="1:209" s="34" customFormat="1" ht="30.75" customHeight="1" thickBot="1">
      <c r="A34" s="228" t="s">
        <v>117</v>
      </c>
      <c r="B34" s="228"/>
      <c r="C34" s="228"/>
      <c r="D34" s="228"/>
      <c r="E34" s="257"/>
      <c r="F34" s="228"/>
      <c r="G34" s="25"/>
      <c r="H34" s="3"/>
      <c r="I34" s="4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</row>
    <row r="35" spans="1:209" s="34" customFormat="1" ht="15" customHeight="1">
      <c r="A35" s="230" t="s">
        <v>30</v>
      </c>
      <c r="B35" s="231"/>
      <c r="C35" s="232" t="s">
        <v>31</v>
      </c>
      <c r="D35" s="232"/>
      <c r="E35" s="133">
        <v>156.75</v>
      </c>
      <c r="F35" s="136">
        <v>135.6</v>
      </c>
      <c r="G35" s="26"/>
      <c r="H35" s="3"/>
      <c r="I35" s="140">
        <f>F35/E35</f>
        <v>0.86507177033492821</v>
      </c>
      <c r="J35" s="4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</row>
    <row r="36" spans="1:209" s="34" customFormat="1" ht="15" customHeight="1">
      <c r="A36" s="233" t="s">
        <v>32</v>
      </c>
      <c r="B36" s="234"/>
      <c r="C36" s="235" t="s">
        <v>39</v>
      </c>
      <c r="D36" s="235"/>
      <c r="E36" s="134">
        <v>156.75</v>
      </c>
      <c r="F36" s="137">
        <v>135.6</v>
      </c>
      <c r="G36" s="26"/>
      <c r="H36" s="3"/>
      <c r="I36" s="140">
        <f t="shared" ref="I36:I49" si="1">F36/E36</f>
        <v>0.86507177033492821</v>
      </c>
      <c r="J36" s="4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</row>
    <row r="37" spans="1:209" s="34" customFormat="1" ht="15" customHeight="1">
      <c r="A37" s="233" t="s">
        <v>33</v>
      </c>
      <c r="B37" s="234"/>
      <c r="C37" s="235" t="s">
        <v>40</v>
      </c>
      <c r="D37" s="235"/>
      <c r="E37" s="134">
        <v>156.75</v>
      </c>
      <c r="F37" s="137">
        <v>135.6</v>
      </c>
      <c r="G37" s="26"/>
      <c r="H37" s="3"/>
      <c r="I37" s="140">
        <f t="shared" si="1"/>
        <v>0.86507177033492821</v>
      </c>
      <c r="J37" s="4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</row>
    <row r="38" spans="1:209" s="34" customFormat="1" ht="15" customHeight="1">
      <c r="A38" s="233" t="s">
        <v>28</v>
      </c>
      <c r="B38" s="234"/>
      <c r="C38" s="235" t="s">
        <v>29</v>
      </c>
      <c r="D38" s="235"/>
      <c r="E38" s="134">
        <v>156.75</v>
      </c>
      <c r="F38" s="137">
        <v>135.6</v>
      </c>
      <c r="G38" s="26"/>
      <c r="H38" s="3"/>
      <c r="I38" s="140">
        <f t="shared" si="1"/>
        <v>0.86507177033492821</v>
      </c>
      <c r="J38" s="4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</row>
    <row r="39" spans="1:209" s="34" customFormat="1" ht="15" customHeight="1">
      <c r="A39" s="233" t="s">
        <v>34</v>
      </c>
      <c r="B39" s="234"/>
      <c r="C39" s="235" t="s">
        <v>41</v>
      </c>
      <c r="D39" s="235"/>
      <c r="E39" s="134">
        <v>160.60000000000002</v>
      </c>
      <c r="F39" s="137">
        <v>138.9</v>
      </c>
      <c r="G39" s="26"/>
      <c r="H39" s="3"/>
      <c r="I39" s="140">
        <f t="shared" si="1"/>
        <v>0.86488169364881684</v>
      </c>
      <c r="J39" s="4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</row>
    <row r="40" spans="1:209" s="34" customFormat="1" ht="15" customHeight="1">
      <c r="A40" s="233" t="s">
        <v>35</v>
      </c>
      <c r="B40" s="234"/>
      <c r="C40" s="235" t="s">
        <v>42</v>
      </c>
      <c r="D40" s="235"/>
      <c r="E40" s="134">
        <v>160.60000000000002</v>
      </c>
      <c r="F40" s="137">
        <v>138.9</v>
      </c>
      <c r="G40" s="26"/>
      <c r="H40" s="3"/>
      <c r="I40" s="140">
        <f t="shared" si="1"/>
        <v>0.86488169364881684</v>
      </c>
      <c r="J40" s="4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</row>
    <row r="41" spans="1:209" s="34" customFormat="1" ht="15" customHeight="1">
      <c r="A41" s="233" t="s">
        <v>20</v>
      </c>
      <c r="B41" s="234"/>
      <c r="C41" s="235" t="s">
        <v>43</v>
      </c>
      <c r="D41" s="235"/>
      <c r="E41" s="134">
        <v>160.60000000000002</v>
      </c>
      <c r="F41" s="137">
        <v>138.9</v>
      </c>
      <c r="G41" s="26"/>
      <c r="H41" s="3"/>
      <c r="I41" s="140">
        <f t="shared" si="1"/>
        <v>0.86488169364881684</v>
      </c>
      <c r="J41" s="4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</row>
    <row r="42" spans="1:209" s="34" customFormat="1" ht="15" customHeight="1">
      <c r="A42" s="233" t="s">
        <v>36</v>
      </c>
      <c r="B42" s="234"/>
      <c r="C42" s="235" t="s">
        <v>44</v>
      </c>
      <c r="D42" s="235"/>
      <c r="E42" s="134">
        <v>163.44999999999999</v>
      </c>
      <c r="F42" s="137">
        <v>141.4</v>
      </c>
      <c r="G42" s="26"/>
      <c r="H42" s="3"/>
      <c r="I42" s="140">
        <f t="shared" si="1"/>
        <v>0.86509635974304078</v>
      </c>
      <c r="J42" s="4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</row>
    <row r="43" spans="1:209" s="34" customFormat="1" ht="15" customHeight="1">
      <c r="A43" s="233" t="s">
        <v>37</v>
      </c>
      <c r="B43" s="234"/>
      <c r="C43" s="235" t="s">
        <v>45</v>
      </c>
      <c r="D43" s="235"/>
      <c r="E43" s="134">
        <v>163.44999999999999</v>
      </c>
      <c r="F43" s="137">
        <v>141.4</v>
      </c>
      <c r="G43" s="26"/>
      <c r="H43" s="3"/>
      <c r="I43" s="140">
        <f t="shared" si="1"/>
        <v>0.86509635974304078</v>
      </c>
      <c r="J43" s="4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</row>
    <row r="44" spans="1:209" s="34" customFormat="1">
      <c r="A44" s="233" t="s">
        <v>21</v>
      </c>
      <c r="B44" s="234"/>
      <c r="C44" s="235" t="s">
        <v>46</v>
      </c>
      <c r="D44" s="235"/>
      <c r="E44" s="134">
        <v>163.44999999999999</v>
      </c>
      <c r="F44" s="137">
        <v>141.4</v>
      </c>
      <c r="G44" s="26"/>
      <c r="H44" s="3"/>
      <c r="I44" s="140">
        <f t="shared" si="1"/>
        <v>0.86509635974304078</v>
      </c>
      <c r="J44" s="4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</row>
    <row r="45" spans="1:209" s="34" customFormat="1">
      <c r="A45" s="233" t="s">
        <v>22</v>
      </c>
      <c r="B45" s="234"/>
      <c r="C45" s="235" t="s">
        <v>27</v>
      </c>
      <c r="D45" s="235"/>
      <c r="E45" s="134">
        <v>166.25</v>
      </c>
      <c r="F45" s="137">
        <v>143.80000000000001</v>
      </c>
      <c r="G45" s="26"/>
      <c r="H45" s="3"/>
      <c r="I45" s="140">
        <f t="shared" si="1"/>
        <v>0.86496240601503771</v>
      </c>
      <c r="J45" s="4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</row>
    <row r="46" spans="1:209" s="34" customFormat="1">
      <c r="A46" s="233" t="s">
        <v>38</v>
      </c>
      <c r="B46" s="234"/>
      <c r="C46" s="235" t="s">
        <v>47</v>
      </c>
      <c r="D46" s="235"/>
      <c r="E46" s="134">
        <v>170.25</v>
      </c>
      <c r="F46" s="137">
        <v>147.25</v>
      </c>
      <c r="G46" s="26"/>
      <c r="H46" s="3"/>
      <c r="I46" s="140">
        <f t="shared" si="1"/>
        <v>0.86490455212922168</v>
      </c>
      <c r="J46" s="4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</row>
    <row r="47" spans="1:209" s="34" customFormat="1" ht="16.149999999999999" customHeight="1">
      <c r="A47" s="233" t="s">
        <v>24</v>
      </c>
      <c r="B47" s="234"/>
      <c r="C47" s="235" t="s">
        <v>25</v>
      </c>
      <c r="D47" s="235"/>
      <c r="E47" s="134">
        <v>170.25</v>
      </c>
      <c r="F47" s="137">
        <v>147.25</v>
      </c>
      <c r="G47" s="26"/>
      <c r="H47" s="3"/>
      <c r="I47" s="140">
        <f t="shared" si="1"/>
        <v>0.86490455212922168</v>
      </c>
      <c r="J47" s="4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</row>
    <row r="48" spans="1:209" ht="15.75" customHeight="1">
      <c r="A48" s="236" t="s">
        <v>59</v>
      </c>
      <c r="B48" s="237"/>
      <c r="C48" s="237"/>
      <c r="D48" s="237"/>
      <c r="E48" s="134">
        <v>30.75</v>
      </c>
      <c r="F48" s="137">
        <v>26.6</v>
      </c>
      <c r="I48" s="140">
        <f t="shared" si="1"/>
        <v>0.86504065040650413</v>
      </c>
    </row>
    <row r="49" spans="1:9" ht="16" thickBot="1">
      <c r="A49" s="239" t="s">
        <v>60</v>
      </c>
      <c r="B49" s="240"/>
      <c r="C49" s="240"/>
      <c r="D49" s="240"/>
      <c r="E49" s="135">
        <v>85.350000000000009</v>
      </c>
      <c r="F49" s="212">
        <v>73.850000000000009</v>
      </c>
      <c r="I49" s="140">
        <f t="shared" si="1"/>
        <v>0.86526069127123606</v>
      </c>
    </row>
    <row r="50" spans="1:9">
      <c r="I50" s="43"/>
    </row>
    <row r="51" spans="1:9">
      <c r="I51" s="43"/>
    </row>
    <row r="52" spans="1:9">
      <c r="I52" s="43"/>
    </row>
    <row r="53" spans="1:9">
      <c r="I53" s="43"/>
    </row>
    <row r="54" spans="1:9">
      <c r="I54" s="43"/>
    </row>
    <row r="55" spans="1:9">
      <c r="I55" s="43"/>
    </row>
    <row r="56" spans="1:9">
      <c r="I56" s="43"/>
    </row>
    <row r="57" spans="1:9">
      <c r="I57" s="43"/>
    </row>
    <row r="58" spans="1:9">
      <c r="I58" s="43"/>
    </row>
    <row r="59" spans="1:9">
      <c r="I59" s="43"/>
    </row>
    <row r="60" spans="1:9">
      <c r="I60" s="43"/>
    </row>
    <row r="61" spans="1:9">
      <c r="I61" s="43"/>
    </row>
  </sheetData>
  <mergeCells count="63">
    <mergeCell ref="A18:F18"/>
    <mergeCell ref="A1:G1"/>
    <mergeCell ref="A2:G2"/>
    <mergeCell ref="A3:G3"/>
    <mergeCell ref="A6:A11"/>
    <mergeCell ref="A17:D17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40:B40"/>
    <mergeCell ref="C40:D40"/>
    <mergeCell ref="A41:B41"/>
    <mergeCell ref="C41:D41"/>
    <mergeCell ref="A42:B42"/>
    <mergeCell ref="A31:B31"/>
    <mergeCell ref="C31:D31"/>
    <mergeCell ref="A34:F34"/>
    <mergeCell ref="A35:B35"/>
    <mergeCell ref="C35:D35"/>
    <mergeCell ref="A32:D32"/>
    <mergeCell ref="A33:D33"/>
    <mergeCell ref="A49:D49"/>
    <mergeCell ref="A46:B46"/>
    <mergeCell ref="C46:D46"/>
    <mergeCell ref="A47:B47"/>
    <mergeCell ref="C47:D47"/>
    <mergeCell ref="C45:D45"/>
    <mergeCell ref="C42:D42"/>
    <mergeCell ref="A36:B36"/>
    <mergeCell ref="C36:D36"/>
    <mergeCell ref="A48:D48"/>
    <mergeCell ref="A37:B37"/>
    <mergeCell ref="C37:D37"/>
    <mergeCell ref="A38:B38"/>
    <mergeCell ref="C38:D38"/>
    <mergeCell ref="A39:B39"/>
    <mergeCell ref="C39:D39"/>
    <mergeCell ref="A45:B45"/>
    <mergeCell ref="A43:B43"/>
    <mergeCell ref="C43:D43"/>
    <mergeCell ref="A44:B44"/>
    <mergeCell ref="C44:D44"/>
  </mergeCells>
  <printOptions horizontalCentered="1"/>
  <pageMargins left="0.31496062992126" right="0.31496062992126" top="0.55118110236220497" bottom="0.35433070866141703" header="0.31496062992126" footer="0.31496062992126"/>
  <pageSetup scale="84" orientation="portrait" r:id="rId1"/>
  <headerFooter alignWithMargins="0">
    <oddFooter>&amp;L&amp;P
&amp;RSEXTON WEST
April 4, 2025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0200-A9B0-47A6-894D-6D5B51E3C0BB}">
  <sheetPr transitionEvaluation="1">
    <tabColor theme="9" tint="0.59999389629810485"/>
    <pageSetUpPr fitToPage="1"/>
  </sheetPr>
  <dimension ref="A1:HB63"/>
  <sheetViews>
    <sheetView defaultGridColor="0" view="pageBreakPreview" colorId="22" zoomScale="90" zoomScaleNormal="110" zoomScaleSheetLayoutView="90" workbookViewId="0">
      <selection activeCell="F7" sqref="F7"/>
    </sheetView>
  </sheetViews>
  <sheetFormatPr defaultColWidth="9" defaultRowHeight="15.5"/>
  <cols>
    <col min="1" max="1" width="8.23046875" style="4" customWidth="1"/>
    <col min="2" max="6" width="11.84375" style="3" customWidth="1"/>
    <col min="7" max="7" width="7.3046875" style="3" customWidth="1"/>
    <col min="8" max="8" width="9" style="34"/>
    <col min="9" max="9" width="3.07421875" style="3" customWidth="1"/>
    <col min="10" max="10" width="9" style="34"/>
    <col min="11" max="11" width="9" style="3"/>
    <col min="12" max="12" width="11.23046875" style="3" bestFit="1" customWidth="1"/>
    <col min="13" max="16384" width="9" style="3"/>
  </cols>
  <sheetData>
    <row r="1" spans="1:210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0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0" ht="30" customHeight="1">
      <c r="A3" s="217" t="str">
        <f>'Moulded Panel'!A3</f>
        <v>SEXTON WEST</v>
      </c>
      <c r="B3" s="217"/>
      <c r="C3" s="217"/>
      <c r="D3" s="217"/>
      <c r="E3" s="217"/>
      <c r="F3" s="217"/>
      <c r="G3" s="217"/>
    </row>
    <row r="4" spans="1:210" ht="11.25" customHeight="1">
      <c r="B4" s="1"/>
      <c r="C4" s="2"/>
      <c r="D4" s="2"/>
      <c r="E4" s="2"/>
      <c r="F4" s="2"/>
      <c r="G4" s="1"/>
    </row>
    <row r="5" spans="1:210" ht="13.5" customHeight="1">
      <c r="B5" s="11"/>
      <c r="C5" s="11"/>
      <c r="D5" s="11"/>
      <c r="E5" s="11"/>
      <c r="F5" s="11"/>
      <c r="G5" s="12"/>
      <c r="H5" s="9"/>
    </row>
    <row r="6" spans="1:210" ht="20.25" customHeight="1">
      <c r="A6" s="218" t="s">
        <v>50</v>
      </c>
      <c r="B6" s="1"/>
      <c r="C6" s="1"/>
      <c r="D6" s="1"/>
      <c r="E6" s="1"/>
      <c r="F6" s="1"/>
      <c r="G6" s="1"/>
      <c r="H6" s="1"/>
      <c r="I6" s="34"/>
      <c r="J6" s="3"/>
    </row>
    <row r="7" spans="1:210" ht="20.25" customHeight="1">
      <c r="A7" s="218"/>
      <c r="B7" s="1"/>
      <c r="C7" s="1"/>
      <c r="D7" s="1"/>
      <c r="E7" s="1"/>
      <c r="F7" s="1"/>
      <c r="G7" s="1"/>
      <c r="H7" s="1"/>
      <c r="I7" s="34"/>
      <c r="J7" s="3"/>
    </row>
    <row r="8" spans="1:210" ht="15.75" customHeight="1">
      <c r="A8" s="218"/>
      <c r="B8" s="1"/>
      <c r="C8" s="1"/>
      <c r="D8" s="1"/>
      <c r="E8" s="1"/>
      <c r="F8" s="1"/>
      <c r="G8" s="1"/>
      <c r="H8" s="1"/>
      <c r="I8" s="34"/>
      <c r="J8" s="3"/>
    </row>
    <row r="9" spans="1:210" ht="15.75" customHeight="1">
      <c r="A9" s="218"/>
      <c r="B9" s="1"/>
      <c r="C9" s="1"/>
      <c r="D9" s="1"/>
      <c r="E9" s="1"/>
      <c r="F9" s="1"/>
      <c r="G9" s="1"/>
      <c r="H9" s="1"/>
      <c r="I9" s="34"/>
      <c r="J9" s="3"/>
    </row>
    <row r="10" spans="1:210" ht="20.25" customHeight="1">
      <c r="A10" s="218"/>
      <c r="B10" s="1"/>
      <c r="C10" s="1"/>
      <c r="D10" s="1"/>
      <c r="E10" s="1"/>
      <c r="F10" s="1"/>
      <c r="G10" s="1"/>
      <c r="H10" s="1"/>
      <c r="I10" s="34"/>
      <c r="J10" s="3"/>
    </row>
    <row r="11" spans="1:210" ht="20.25" customHeight="1">
      <c r="A11" s="218"/>
      <c r="B11" s="1"/>
      <c r="C11" s="1"/>
      <c r="D11" s="1"/>
      <c r="E11" s="1"/>
      <c r="F11" s="1"/>
      <c r="G11" s="1"/>
      <c r="H11" s="1"/>
      <c r="I11" s="34"/>
      <c r="J11" s="3"/>
    </row>
    <row r="12" spans="1:210" ht="9" customHeight="1" thickBot="1">
      <c r="A12" s="5"/>
      <c r="B12" s="6"/>
      <c r="C12" s="6"/>
      <c r="D12" s="6"/>
      <c r="E12" s="6"/>
      <c r="F12" s="7"/>
      <c r="G12" s="7"/>
      <c r="H12" s="7"/>
      <c r="I12" s="34"/>
      <c r="J12" s="3"/>
    </row>
    <row r="13" spans="1:210" ht="38.25" customHeight="1" thickTop="1" thickBot="1">
      <c r="A13" s="16"/>
      <c r="B13" s="18" t="s">
        <v>16</v>
      </c>
      <c r="C13" s="15" t="s">
        <v>17</v>
      </c>
      <c r="D13" s="15" t="s">
        <v>18</v>
      </c>
      <c r="E13" s="15" t="s">
        <v>19</v>
      </c>
      <c r="F13" s="36"/>
      <c r="G13" s="37"/>
      <c r="H13" s="37"/>
      <c r="I13" s="3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</row>
    <row r="14" spans="1:210" ht="16.5" thickTop="1" thickBot="1">
      <c r="A14" s="20" t="s">
        <v>9</v>
      </c>
      <c r="B14" s="19" t="s">
        <v>13</v>
      </c>
      <c r="C14" s="19" t="s">
        <v>12</v>
      </c>
      <c r="D14" s="19" t="s">
        <v>12</v>
      </c>
      <c r="E14" s="19" t="s">
        <v>12</v>
      </c>
      <c r="F14" s="38"/>
      <c r="G14" s="14"/>
      <c r="H14" s="14"/>
      <c r="I14" s="3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</row>
    <row r="15" spans="1:210" ht="16.5" thickTop="1" thickBot="1">
      <c r="A15" s="20" t="s">
        <v>10</v>
      </c>
      <c r="B15" s="19" t="s">
        <v>13</v>
      </c>
      <c r="C15" s="19" t="s">
        <v>12</v>
      </c>
      <c r="D15" s="19" t="s">
        <v>12</v>
      </c>
      <c r="E15" s="19" t="s">
        <v>13</v>
      </c>
      <c r="F15" s="14"/>
      <c r="G15" s="14"/>
      <c r="H15" s="14"/>
      <c r="I15" s="3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</row>
    <row r="16" spans="1:210" ht="16.5" customHeight="1" thickTop="1" thickBot="1">
      <c r="A16" s="8"/>
      <c r="B16" s="10"/>
      <c r="C16" s="10"/>
      <c r="D16" s="11"/>
      <c r="E16" s="10"/>
      <c r="F16" s="10"/>
      <c r="G16" s="10"/>
      <c r="H16" s="10"/>
      <c r="I16" s="13"/>
      <c r="J16" s="3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</row>
    <row r="17" spans="1:210" ht="36" customHeight="1" thickTop="1" thickBot="1">
      <c r="A17" s="225" t="s">
        <v>3</v>
      </c>
      <c r="B17" s="226"/>
      <c r="C17" s="226"/>
      <c r="D17" s="227"/>
      <c r="E17" s="40" t="s">
        <v>105</v>
      </c>
      <c r="F17" s="40" t="s">
        <v>54</v>
      </c>
      <c r="G17" s="52"/>
      <c r="H17" s="33"/>
      <c r="I17" s="13"/>
      <c r="J17" s="3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</row>
    <row r="18" spans="1:210" ht="30" customHeight="1" thickTop="1" thickBot="1">
      <c r="A18" s="229" t="s">
        <v>0</v>
      </c>
      <c r="B18" s="229"/>
      <c r="C18" s="229"/>
      <c r="D18" s="229"/>
      <c r="E18" s="229"/>
      <c r="F18" s="229"/>
      <c r="G18" s="25"/>
      <c r="H18" s="33"/>
      <c r="I18" s="13"/>
      <c r="J18" s="3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</row>
    <row r="19" spans="1:210">
      <c r="A19" s="230" t="s">
        <v>30</v>
      </c>
      <c r="B19" s="231"/>
      <c r="C19" s="232" t="s">
        <v>31</v>
      </c>
      <c r="D19" s="250"/>
      <c r="E19" s="133">
        <v>84.15</v>
      </c>
      <c r="F19" s="133">
        <v>72.8</v>
      </c>
      <c r="G19" s="26"/>
      <c r="H19" s="140">
        <f>F19/E19</f>
        <v>0.86512180629827684</v>
      </c>
      <c r="I19" s="48"/>
      <c r="J19" s="49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</row>
    <row r="20" spans="1:210">
      <c r="A20" s="233" t="s">
        <v>32</v>
      </c>
      <c r="B20" s="234"/>
      <c r="C20" s="235" t="s">
        <v>39</v>
      </c>
      <c r="D20" s="251"/>
      <c r="E20" s="134">
        <v>84.15</v>
      </c>
      <c r="F20" s="134">
        <v>72.8</v>
      </c>
      <c r="G20" s="26"/>
      <c r="H20" s="140">
        <f t="shared" ref="H20:H62" si="0">F20/E20</f>
        <v>0.86512180629827684</v>
      </c>
      <c r="I20" s="48"/>
      <c r="J20" s="49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</row>
    <row r="21" spans="1:210">
      <c r="A21" s="233" t="s">
        <v>33</v>
      </c>
      <c r="B21" s="234"/>
      <c r="C21" s="235" t="s">
        <v>40</v>
      </c>
      <c r="D21" s="251"/>
      <c r="E21" s="134">
        <v>84.15</v>
      </c>
      <c r="F21" s="134">
        <v>72.8</v>
      </c>
      <c r="G21" s="26"/>
      <c r="H21" s="140">
        <f t="shared" si="0"/>
        <v>0.86512180629827684</v>
      </c>
      <c r="I21" s="48"/>
      <c r="J21" s="49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</row>
    <row r="22" spans="1:210">
      <c r="A22" s="233" t="s">
        <v>28</v>
      </c>
      <c r="B22" s="234"/>
      <c r="C22" s="235" t="s">
        <v>29</v>
      </c>
      <c r="D22" s="251"/>
      <c r="E22" s="134">
        <v>84.15</v>
      </c>
      <c r="F22" s="134">
        <v>72.8</v>
      </c>
      <c r="G22" s="26"/>
      <c r="H22" s="140">
        <f t="shared" si="0"/>
        <v>0.86512180629827684</v>
      </c>
      <c r="I22" s="48"/>
      <c r="J22" s="49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</row>
    <row r="23" spans="1:210">
      <c r="A23" s="233" t="s">
        <v>34</v>
      </c>
      <c r="B23" s="234"/>
      <c r="C23" s="235" t="s">
        <v>41</v>
      </c>
      <c r="D23" s="251"/>
      <c r="E23" s="134">
        <v>88</v>
      </c>
      <c r="F23" s="134">
        <v>76.100000000000009</v>
      </c>
      <c r="G23" s="26"/>
      <c r="H23" s="140">
        <f t="shared" si="0"/>
        <v>0.86477272727272736</v>
      </c>
      <c r="I23" s="48"/>
      <c r="J23" s="49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</row>
    <row r="24" spans="1:210">
      <c r="A24" s="233" t="s">
        <v>35</v>
      </c>
      <c r="B24" s="234"/>
      <c r="C24" s="235" t="s">
        <v>42</v>
      </c>
      <c r="D24" s="251"/>
      <c r="E24" s="134">
        <v>88</v>
      </c>
      <c r="F24" s="134">
        <v>76.100000000000009</v>
      </c>
      <c r="G24" s="26"/>
      <c r="H24" s="140">
        <f t="shared" si="0"/>
        <v>0.86477272727272736</v>
      </c>
      <c r="I24" s="48"/>
      <c r="J24" s="49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</row>
    <row r="25" spans="1:210">
      <c r="A25" s="233" t="s">
        <v>20</v>
      </c>
      <c r="B25" s="234"/>
      <c r="C25" s="235" t="s">
        <v>43</v>
      </c>
      <c r="D25" s="251"/>
      <c r="E25" s="134">
        <v>88</v>
      </c>
      <c r="F25" s="134">
        <v>76.100000000000009</v>
      </c>
      <c r="G25" s="26"/>
      <c r="H25" s="140">
        <f t="shared" si="0"/>
        <v>0.86477272727272736</v>
      </c>
      <c r="I25" s="48"/>
      <c r="J25" s="49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</row>
    <row r="26" spans="1:210" s="32" customFormat="1">
      <c r="A26" s="233" t="s">
        <v>36</v>
      </c>
      <c r="B26" s="234"/>
      <c r="C26" s="235" t="s">
        <v>44</v>
      </c>
      <c r="D26" s="251"/>
      <c r="E26" s="134">
        <v>90.850000000000009</v>
      </c>
      <c r="F26" s="134">
        <v>78.600000000000009</v>
      </c>
      <c r="G26" s="26"/>
      <c r="H26" s="140">
        <f t="shared" si="0"/>
        <v>0.86516235553109522</v>
      </c>
      <c r="I26" s="48"/>
      <c r="J26" s="49"/>
      <c r="K26" s="13"/>
      <c r="L26" s="13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</row>
    <row r="27" spans="1:210" s="32" customFormat="1">
      <c r="A27" s="233" t="s">
        <v>37</v>
      </c>
      <c r="B27" s="234"/>
      <c r="C27" s="235" t="s">
        <v>45</v>
      </c>
      <c r="D27" s="251"/>
      <c r="E27" s="134">
        <v>90.850000000000009</v>
      </c>
      <c r="F27" s="134">
        <v>78.600000000000009</v>
      </c>
      <c r="G27" s="26"/>
      <c r="H27" s="140">
        <f t="shared" si="0"/>
        <v>0.86516235553109522</v>
      </c>
      <c r="I27" s="48"/>
      <c r="J27" s="49"/>
      <c r="K27" s="13"/>
      <c r="L27" s="13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</row>
    <row r="28" spans="1:210" ht="15.75" customHeight="1">
      <c r="A28" s="233" t="s">
        <v>21</v>
      </c>
      <c r="B28" s="234"/>
      <c r="C28" s="235" t="s">
        <v>46</v>
      </c>
      <c r="D28" s="251"/>
      <c r="E28" s="134">
        <v>90.850000000000009</v>
      </c>
      <c r="F28" s="134">
        <v>78.600000000000009</v>
      </c>
      <c r="G28" s="26"/>
      <c r="H28" s="140">
        <f t="shared" si="0"/>
        <v>0.86516235553109522</v>
      </c>
      <c r="I28" s="48"/>
      <c r="J28" s="49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</row>
    <row r="29" spans="1:210">
      <c r="A29" s="233" t="s">
        <v>22</v>
      </c>
      <c r="B29" s="234"/>
      <c r="C29" s="235" t="s">
        <v>27</v>
      </c>
      <c r="D29" s="251"/>
      <c r="E29" s="134">
        <v>93.65</v>
      </c>
      <c r="F29" s="134">
        <v>81</v>
      </c>
      <c r="G29" s="26"/>
      <c r="H29" s="140">
        <f t="shared" si="0"/>
        <v>0.86492258408969558</v>
      </c>
      <c r="I29" s="48"/>
      <c r="J29" s="49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</row>
    <row r="30" spans="1:210">
      <c r="A30" s="233" t="s">
        <v>38</v>
      </c>
      <c r="B30" s="234"/>
      <c r="C30" s="235" t="s">
        <v>47</v>
      </c>
      <c r="D30" s="251"/>
      <c r="E30" s="134">
        <v>97.65</v>
      </c>
      <c r="F30" s="134">
        <v>84.45</v>
      </c>
      <c r="G30" s="26"/>
      <c r="H30" s="140">
        <f t="shared" si="0"/>
        <v>0.86482334869431643</v>
      </c>
      <c r="I30" s="48"/>
      <c r="J30" s="49"/>
      <c r="K30" s="13"/>
      <c r="L30" s="13"/>
    </row>
    <row r="31" spans="1:210" ht="16.149999999999999" customHeight="1">
      <c r="A31" s="233" t="s">
        <v>24</v>
      </c>
      <c r="B31" s="234"/>
      <c r="C31" s="235" t="s">
        <v>25</v>
      </c>
      <c r="D31" s="251"/>
      <c r="E31" s="134">
        <v>97.65</v>
      </c>
      <c r="F31" s="134">
        <v>84.45</v>
      </c>
      <c r="G31" s="26"/>
      <c r="H31" s="140">
        <f t="shared" si="0"/>
        <v>0.86482334869431643</v>
      </c>
      <c r="I31" s="48"/>
      <c r="J31" s="49"/>
      <c r="K31" s="13"/>
      <c r="L31" s="13"/>
    </row>
    <row r="32" spans="1:210" ht="16.149999999999999" customHeight="1">
      <c r="A32" s="236" t="s">
        <v>59</v>
      </c>
      <c r="B32" s="237"/>
      <c r="C32" s="237"/>
      <c r="D32" s="238"/>
      <c r="E32" s="134">
        <v>30.75</v>
      </c>
      <c r="F32" s="134">
        <v>26.6</v>
      </c>
      <c r="G32" s="26"/>
      <c r="H32" s="140">
        <f t="shared" si="0"/>
        <v>0.86504065040650413</v>
      </c>
      <c r="I32" s="48"/>
      <c r="J32" s="49"/>
      <c r="K32" s="13"/>
      <c r="L32" s="13"/>
    </row>
    <row r="33" spans="1:12" ht="16.149999999999999" customHeight="1" thickBot="1">
      <c r="A33" s="239" t="s">
        <v>60</v>
      </c>
      <c r="B33" s="240"/>
      <c r="C33" s="240"/>
      <c r="D33" s="241"/>
      <c r="E33" s="135">
        <v>85.350000000000009</v>
      </c>
      <c r="F33" s="135">
        <v>73.850000000000009</v>
      </c>
      <c r="G33" s="26"/>
      <c r="H33" s="140">
        <f t="shared" si="0"/>
        <v>0.86526069127123606</v>
      </c>
      <c r="I33" s="48"/>
      <c r="J33" s="49"/>
      <c r="K33" s="13"/>
      <c r="L33" s="13"/>
    </row>
    <row r="34" spans="1:12" ht="30" customHeight="1" thickBot="1">
      <c r="A34" s="248" t="s">
        <v>58</v>
      </c>
      <c r="B34" s="248"/>
      <c r="C34" s="248"/>
      <c r="D34" s="248"/>
      <c r="E34" s="248"/>
      <c r="F34" s="248"/>
      <c r="G34" s="25"/>
      <c r="H34" s="43"/>
      <c r="I34" s="48"/>
      <c r="J34" s="49"/>
    </row>
    <row r="35" spans="1:12" ht="16.149999999999999" customHeight="1">
      <c r="A35" s="242" t="s">
        <v>28</v>
      </c>
      <c r="B35" s="243"/>
      <c r="C35" s="244" t="s">
        <v>29</v>
      </c>
      <c r="D35" s="244"/>
      <c r="E35" s="133">
        <v>104.5</v>
      </c>
      <c r="F35" s="136">
        <v>90.4</v>
      </c>
      <c r="G35" s="26"/>
      <c r="H35" s="140">
        <f t="shared" si="0"/>
        <v>0.86507177033492832</v>
      </c>
      <c r="I35" s="48"/>
      <c r="J35" s="49"/>
    </row>
    <row r="36" spans="1:12" ht="16.149999999999999" customHeight="1">
      <c r="A36" s="221" t="s">
        <v>34</v>
      </c>
      <c r="B36" s="222"/>
      <c r="C36" s="223" t="s">
        <v>41</v>
      </c>
      <c r="D36" s="224"/>
      <c r="E36" s="134">
        <v>104.5</v>
      </c>
      <c r="F36" s="137">
        <v>90.4</v>
      </c>
      <c r="G36" s="26"/>
      <c r="H36" s="140">
        <f t="shared" si="0"/>
        <v>0.86507177033492832</v>
      </c>
      <c r="I36" s="48"/>
      <c r="J36" s="49"/>
    </row>
    <row r="37" spans="1:12" ht="16.149999999999999" customHeight="1">
      <c r="A37" s="221" t="s">
        <v>35</v>
      </c>
      <c r="B37" s="222"/>
      <c r="C37" s="223" t="s">
        <v>42</v>
      </c>
      <c r="D37" s="224"/>
      <c r="E37" s="134">
        <v>104.5</v>
      </c>
      <c r="F37" s="137">
        <v>90.4</v>
      </c>
      <c r="G37" s="26"/>
      <c r="H37" s="140">
        <f t="shared" si="0"/>
        <v>0.86507177033492832</v>
      </c>
      <c r="I37" s="48"/>
      <c r="J37" s="49"/>
    </row>
    <row r="38" spans="1:12" ht="16.149999999999999" customHeight="1">
      <c r="A38" s="221" t="s">
        <v>20</v>
      </c>
      <c r="B38" s="222"/>
      <c r="C38" s="223" t="s">
        <v>43</v>
      </c>
      <c r="D38" s="224"/>
      <c r="E38" s="134">
        <v>104.5</v>
      </c>
      <c r="F38" s="137">
        <v>90.4</v>
      </c>
      <c r="G38" s="26"/>
      <c r="H38" s="140">
        <f t="shared" si="0"/>
        <v>0.86507177033492832</v>
      </c>
      <c r="I38" s="48"/>
      <c r="J38" s="49"/>
    </row>
    <row r="39" spans="1:12" ht="16.149999999999999" customHeight="1">
      <c r="A39" s="221" t="s">
        <v>36</v>
      </c>
      <c r="B39" s="222"/>
      <c r="C39" s="223" t="s">
        <v>44</v>
      </c>
      <c r="D39" s="224"/>
      <c r="E39" s="134">
        <v>113.85000000000001</v>
      </c>
      <c r="F39" s="137">
        <v>98.5</v>
      </c>
      <c r="G39" s="26"/>
      <c r="H39" s="140">
        <f t="shared" si="0"/>
        <v>0.86517347386912602</v>
      </c>
      <c r="I39" s="48"/>
      <c r="J39" s="49"/>
    </row>
    <row r="40" spans="1:12" ht="16.149999999999999" customHeight="1">
      <c r="A40" s="221" t="s">
        <v>37</v>
      </c>
      <c r="B40" s="222"/>
      <c r="C40" s="223" t="s">
        <v>45</v>
      </c>
      <c r="D40" s="224"/>
      <c r="E40" s="134">
        <v>113.85000000000001</v>
      </c>
      <c r="F40" s="137">
        <v>98.5</v>
      </c>
      <c r="G40" s="26"/>
      <c r="H40" s="140">
        <f t="shared" si="0"/>
        <v>0.86517347386912602</v>
      </c>
      <c r="I40" s="48"/>
      <c r="J40" s="49"/>
    </row>
    <row r="41" spans="1:12" ht="16.149999999999999" customHeight="1">
      <c r="A41" s="221" t="s">
        <v>21</v>
      </c>
      <c r="B41" s="222"/>
      <c r="C41" s="223" t="s">
        <v>46</v>
      </c>
      <c r="D41" s="224"/>
      <c r="E41" s="134">
        <v>113.85000000000001</v>
      </c>
      <c r="F41" s="137">
        <v>98.5</v>
      </c>
      <c r="G41" s="26"/>
      <c r="H41" s="140">
        <f t="shared" si="0"/>
        <v>0.86517347386912602</v>
      </c>
      <c r="I41" s="48"/>
      <c r="J41" s="49"/>
    </row>
    <row r="42" spans="1:12" ht="16.149999999999999" customHeight="1">
      <c r="A42" s="221" t="s">
        <v>22</v>
      </c>
      <c r="B42" s="222"/>
      <c r="C42" s="223" t="s">
        <v>27</v>
      </c>
      <c r="D42" s="224"/>
      <c r="E42" s="134">
        <v>119.9</v>
      </c>
      <c r="F42" s="137">
        <v>103.7</v>
      </c>
      <c r="G42" s="26"/>
      <c r="H42" s="140">
        <f t="shared" si="0"/>
        <v>0.86488740617180981</v>
      </c>
      <c r="I42" s="48"/>
      <c r="J42" s="49"/>
    </row>
    <row r="43" spans="1:12" ht="16.149999999999999" customHeight="1">
      <c r="A43" s="221" t="s">
        <v>38</v>
      </c>
      <c r="B43" s="222"/>
      <c r="C43" s="223" t="s">
        <v>47</v>
      </c>
      <c r="D43" s="224"/>
      <c r="E43" s="134">
        <v>119.9</v>
      </c>
      <c r="F43" s="137">
        <v>103.7</v>
      </c>
      <c r="G43" s="26"/>
      <c r="H43" s="140">
        <f t="shared" si="0"/>
        <v>0.86488740617180981</v>
      </c>
      <c r="I43" s="48"/>
      <c r="J43" s="49"/>
    </row>
    <row r="44" spans="1:12" ht="15.75" customHeight="1">
      <c r="A44" s="233" t="s">
        <v>24</v>
      </c>
      <c r="B44" s="234"/>
      <c r="C44" s="223" t="s">
        <v>25</v>
      </c>
      <c r="D44" s="223"/>
      <c r="E44" s="134">
        <v>119.9</v>
      </c>
      <c r="F44" s="137">
        <v>103.7</v>
      </c>
      <c r="G44" s="26"/>
      <c r="H44" s="140">
        <f t="shared" si="0"/>
        <v>0.86488740617180981</v>
      </c>
      <c r="I44" s="48"/>
      <c r="J44" s="49"/>
    </row>
    <row r="45" spans="1:12" ht="15.75" customHeight="1">
      <c r="A45" s="236" t="s">
        <v>59</v>
      </c>
      <c r="B45" s="237"/>
      <c r="C45" s="237"/>
      <c r="D45" s="238"/>
      <c r="E45" s="134">
        <v>30.75</v>
      </c>
      <c r="F45" s="134">
        <v>26.6</v>
      </c>
      <c r="G45" s="26"/>
      <c r="H45" s="140">
        <f t="shared" si="0"/>
        <v>0.86504065040650413</v>
      </c>
      <c r="I45" s="48"/>
      <c r="J45" s="49"/>
    </row>
    <row r="46" spans="1:12" ht="15.75" customHeight="1" thickBot="1">
      <c r="A46" s="239" t="s">
        <v>60</v>
      </c>
      <c r="B46" s="240"/>
      <c r="C46" s="240"/>
      <c r="D46" s="241"/>
      <c r="E46" s="135">
        <v>85.350000000000009</v>
      </c>
      <c r="F46" s="135">
        <v>73.850000000000009</v>
      </c>
      <c r="G46" s="26"/>
      <c r="H46" s="140">
        <f t="shared" si="0"/>
        <v>0.86526069127123606</v>
      </c>
      <c r="I46" s="48"/>
      <c r="J46" s="49"/>
    </row>
    <row r="47" spans="1:12" ht="30.75" customHeight="1" thickBot="1">
      <c r="A47" s="252" t="s">
        <v>23</v>
      </c>
      <c r="B47" s="252"/>
      <c r="C47" s="252"/>
      <c r="D47" s="252"/>
      <c r="E47" s="252"/>
      <c r="F47" s="252"/>
      <c r="G47" s="25"/>
      <c r="H47" s="43"/>
      <c r="I47" s="48"/>
      <c r="J47" s="49"/>
    </row>
    <row r="48" spans="1:12" ht="15" customHeight="1">
      <c r="A48" s="230" t="s">
        <v>30</v>
      </c>
      <c r="B48" s="231"/>
      <c r="C48" s="232" t="s">
        <v>31</v>
      </c>
      <c r="D48" s="250"/>
      <c r="E48" s="133">
        <v>172.15</v>
      </c>
      <c r="F48" s="133">
        <v>148.9</v>
      </c>
      <c r="G48" s="26"/>
      <c r="H48" s="140">
        <f t="shared" si="0"/>
        <v>0.86494336334591926</v>
      </c>
      <c r="I48" s="48"/>
      <c r="J48" s="49"/>
    </row>
    <row r="49" spans="1:10" ht="15" customHeight="1">
      <c r="A49" s="233" t="s">
        <v>32</v>
      </c>
      <c r="B49" s="234"/>
      <c r="C49" s="235" t="s">
        <v>39</v>
      </c>
      <c r="D49" s="251"/>
      <c r="E49" s="134">
        <v>172.15</v>
      </c>
      <c r="F49" s="134">
        <v>148.9</v>
      </c>
      <c r="G49" s="26"/>
      <c r="H49" s="140">
        <f t="shared" si="0"/>
        <v>0.86494336334591926</v>
      </c>
      <c r="I49" s="48"/>
      <c r="J49" s="49"/>
    </row>
    <row r="50" spans="1:10" ht="15" customHeight="1">
      <c r="A50" s="233" t="s">
        <v>33</v>
      </c>
      <c r="B50" s="234"/>
      <c r="C50" s="235" t="s">
        <v>40</v>
      </c>
      <c r="D50" s="251"/>
      <c r="E50" s="134">
        <v>172.15</v>
      </c>
      <c r="F50" s="134">
        <v>148.9</v>
      </c>
      <c r="G50" s="26"/>
      <c r="H50" s="140">
        <f t="shared" si="0"/>
        <v>0.86494336334591926</v>
      </c>
      <c r="I50" s="48"/>
      <c r="J50" s="49"/>
    </row>
    <row r="51" spans="1:10" ht="15" customHeight="1">
      <c r="A51" s="233" t="s">
        <v>28</v>
      </c>
      <c r="B51" s="234"/>
      <c r="C51" s="235" t="s">
        <v>29</v>
      </c>
      <c r="D51" s="251"/>
      <c r="E51" s="134">
        <v>172.15</v>
      </c>
      <c r="F51" s="134">
        <v>148.9</v>
      </c>
      <c r="G51" s="26"/>
      <c r="H51" s="140">
        <f t="shared" si="0"/>
        <v>0.86494336334591926</v>
      </c>
      <c r="I51" s="48"/>
      <c r="J51" s="49"/>
    </row>
    <row r="52" spans="1:10" ht="15" customHeight="1">
      <c r="A52" s="233" t="s">
        <v>34</v>
      </c>
      <c r="B52" s="234"/>
      <c r="C52" s="235" t="s">
        <v>41</v>
      </c>
      <c r="D52" s="251"/>
      <c r="E52" s="134">
        <v>176</v>
      </c>
      <c r="F52" s="134">
        <v>152.25</v>
      </c>
      <c r="G52" s="26"/>
      <c r="H52" s="140">
        <f t="shared" si="0"/>
        <v>0.86505681818181823</v>
      </c>
      <c r="I52" s="48"/>
      <c r="J52" s="49"/>
    </row>
    <row r="53" spans="1:10" ht="15" customHeight="1">
      <c r="A53" s="233" t="s">
        <v>35</v>
      </c>
      <c r="B53" s="234"/>
      <c r="C53" s="235" t="s">
        <v>42</v>
      </c>
      <c r="D53" s="251"/>
      <c r="E53" s="134">
        <v>176</v>
      </c>
      <c r="F53" s="134">
        <v>152.25</v>
      </c>
      <c r="G53" s="26"/>
      <c r="H53" s="140">
        <f t="shared" si="0"/>
        <v>0.86505681818181823</v>
      </c>
      <c r="I53" s="48"/>
      <c r="J53" s="49"/>
    </row>
    <row r="54" spans="1:10" ht="15" customHeight="1">
      <c r="A54" s="233" t="s">
        <v>20</v>
      </c>
      <c r="B54" s="234"/>
      <c r="C54" s="235" t="s">
        <v>43</v>
      </c>
      <c r="D54" s="251"/>
      <c r="E54" s="134">
        <v>176</v>
      </c>
      <c r="F54" s="134">
        <v>152.25</v>
      </c>
      <c r="G54" s="26"/>
      <c r="H54" s="140">
        <f t="shared" si="0"/>
        <v>0.86505681818181823</v>
      </c>
      <c r="I54" s="48"/>
      <c r="J54" s="49"/>
    </row>
    <row r="55" spans="1:10" ht="15" customHeight="1">
      <c r="A55" s="233" t="s">
        <v>36</v>
      </c>
      <c r="B55" s="234"/>
      <c r="C55" s="235" t="s">
        <v>44</v>
      </c>
      <c r="D55" s="251"/>
      <c r="E55" s="134">
        <v>178.85000000000002</v>
      </c>
      <c r="F55" s="134">
        <v>154.70000000000002</v>
      </c>
      <c r="G55" s="26"/>
      <c r="H55" s="140">
        <f t="shared" si="0"/>
        <v>0.86497064579256355</v>
      </c>
      <c r="I55" s="48"/>
      <c r="J55" s="49"/>
    </row>
    <row r="56" spans="1:10" ht="15" customHeight="1">
      <c r="A56" s="233" t="s">
        <v>37</v>
      </c>
      <c r="B56" s="234"/>
      <c r="C56" s="235" t="s">
        <v>45</v>
      </c>
      <c r="D56" s="251"/>
      <c r="E56" s="134">
        <v>178.85000000000002</v>
      </c>
      <c r="F56" s="134">
        <v>154.70000000000002</v>
      </c>
      <c r="G56" s="26"/>
      <c r="H56" s="140">
        <f t="shared" si="0"/>
        <v>0.86497064579256355</v>
      </c>
      <c r="I56" s="48"/>
      <c r="J56" s="49"/>
    </row>
    <row r="57" spans="1:10">
      <c r="A57" s="233" t="s">
        <v>21</v>
      </c>
      <c r="B57" s="234"/>
      <c r="C57" s="235" t="s">
        <v>46</v>
      </c>
      <c r="D57" s="251"/>
      <c r="E57" s="134">
        <v>178.85000000000002</v>
      </c>
      <c r="F57" s="134">
        <v>154.70000000000002</v>
      </c>
      <c r="G57" s="26"/>
      <c r="H57" s="140">
        <f t="shared" si="0"/>
        <v>0.86497064579256355</v>
      </c>
      <c r="I57" s="48"/>
      <c r="J57" s="49"/>
    </row>
    <row r="58" spans="1:10">
      <c r="A58" s="233" t="s">
        <v>22</v>
      </c>
      <c r="B58" s="234"/>
      <c r="C58" s="235" t="s">
        <v>27</v>
      </c>
      <c r="D58" s="251"/>
      <c r="E58" s="134">
        <v>181.65</v>
      </c>
      <c r="F58" s="134">
        <v>157.15</v>
      </c>
      <c r="G58" s="26"/>
      <c r="H58" s="140">
        <f t="shared" si="0"/>
        <v>0.86512524084778419</v>
      </c>
      <c r="I58" s="48"/>
      <c r="J58" s="49"/>
    </row>
    <row r="59" spans="1:10">
      <c r="A59" s="233" t="s">
        <v>38</v>
      </c>
      <c r="B59" s="234"/>
      <c r="C59" s="235" t="s">
        <v>47</v>
      </c>
      <c r="D59" s="251"/>
      <c r="E59" s="134">
        <v>185.65</v>
      </c>
      <c r="F59" s="134">
        <v>160.60000000000002</v>
      </c>
      <c r="G59" s="26"/>
      <c r="H59" s="140">
        <f t="shared" si="0"/>
        <v>0.86506867761917594</v>
      </c>
      <c r="I59" s="48"/>
      <c r="J59" s="49"/>
    </row>
    <row r="60" spans="1:10" ht="16.149999999999999" customHeight="1">
      <c r="A60" s="233" t="s">
        <v>24</v>
      </c>
      <c r="B60" s="234"/>
      <c r="C60" s="235" t="s">
        <v>25</v>
      </c>
      <c r="D60" s="251"/>
      <c r="E60" s="134">
        <v>185.65</v>
      </c>
      <c r="F60" s="134">
        <v>160.60000000000002</v>
      </c>
      <c r="G60" s="26"/>
      <c r="H60" s="140">
        <f t="shared" si="0"/>
        <v>0.86506867761917594</v>
      </c>
      <c r="I60" s="48"/>
      <c r="J60" s="49"/>
    </row>
    <row r="61" spans="1:10" ht="16.149999999999999" customHeight="1">
      <c r="A61" s="236" t="s">
        <v>59</v>
      </c>
      <c r="B61" s="237"/>
      <c r="C61" s="237"/>
      <c r="D61" s="238"/>
      <c r="E61" s="134">
        <v>16.399999999999999</v>
      </c>
      <c r="F61" s="134">
        <v>14.2</v>
      </c>
      <c r="G61" s="26"/>
      <c r="H61" s="140">
        <f t="shared" si="0"/>
        <v>0.86585365853658536</v>
      </c>
      <c r="I61" s="48"/>
      <c r="J61" s="49"/>
    </row>
    <row r="62" spans="1:10" ht="16.149999999999999" customHeight="1" thickBot="1">
      <c r="A62" s="239" t="s">
        <v>60</v>
      </c>
      <c r="B62" s="240"/>
      <c r="C62" s="240"/>
      <c r="D62" s="241"/>
      <c r="E62" s="135">
        <v>108.1</v>
      </c>
      <c r="F62" s="135">
        <v>93.5</v>
      </c>
      <c r="G62" s="26"/>
      <c r="H62" s="141">
        <f t="shared" si="0"/>
        <v>0.86493987049028687</v>
      </c>
      <c r="I62" s="48"/>
      <c r="J62" s="49"/>
    </row>
    <row r="63" spans="1:10" ht="30" customHeight="1">
      <c r="A63" s="248"/>
      <c r="B63" s="248"/>
      <c r="C63" s="248"/>
      <c r="D63" s="248"/>
      <c r="E63" s="248"/>
      <c r="F63" s="248"/>
      <c r="G63" s="248"/>
    </row>
  </sheetData>
  <mergeCells count="87">
    <mergeCell ref="A63:G63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D61"/>
    <mergeCell ref="A62:D62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48:B48"/>
    <mergeCell ref="C48:D48"/>
    <mergeCell ref="A40:B40"/>
    <mergeCell ref="C40:D40"/>
    <mergeCell ref="A41:B41"/>
    <mergeCell ref="C41:D41"/>
    <mergeCell ref="A42:B42"/>
    <mergeCell ref="C42:D42"/>
    <mergeCell ref="A47:F47"/>
    <mergeCell ref="A45:D45"/>
    <mergeCell ref="A46:D46"/>
    <mergeCell ref="A36:B36"/>
    <mergeCell ref="C36:D36"/>
    <mergeCell ref="A43:B43"/>
    <mergeCell ref="C43:D43"/>
    <mergeCell ref="A44:B44"/>
    <mergeCell ref="C44:D44"/>
    <mergeCell ref="A37:B37"/>
    <mergeCell ref="C37:D37"/>
    <mergeCell ref="A38:B38"/>
    <mergeCell ref="C38:D38"/>
    <mergeCell ref="A39:B39"/>
    <mergeCell ref="C39:D39"/>
    <mergeCell ref="A31:B31"/>
    <mergeCell ref="C31:D31"/>
    <mergeCell ref="A35:B35"/>
    <mergeCell ref="C35:D35"/>
    <mergeCell ref="A34:F34"/>
    <mergeCell ref="A32:D32"/>
    <mergeCell ref="A33:D33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18:F18"/>
    <mergeCell ref="A6:A11"/>
    <mergeCell ref="A17:D17"/>
    <mergeCell ref="A1:G1"/>
    <mergeCell ref="A2:G2"/>
    <mergeCell ref="A3:G3"/>
  </mergeCells>
  <printOptions horizontalCentered="1"/>
  <pageMargins left="0.31496062992126" right="0.31496062992126" top="0.55118110236220497" bottom="0.35433070866141703" header="0.31496062992126" footer="0.31496062992126"/>
  <pageSetup scale="67" orientation="portrait" r:id="rId1"/>
  <headerFooter alignWithMargins="0">
    <oddFooter>&amp;L&amp;P
&amp;RSEXTON WEST
April 4, 2025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12D-5E30-4DB9-BD8C-33CA363F3B6A}">
  <sheetPr transitionEvaluation="1">
    <tabColor theme="9" tint="0.59999389629810485"/>
    <pageSetUpPr fitToPage="1"/>
  </sheetPr>
  <dimension ref="A1:HB61"/>
  <sheetViews>
    <sheetView defaultGridColor="0" view="pageBreakPreview" colorId="22" zoomScaleNormal="110" zoomScaleSheetLayoutView="100" workbookViewId="0">
      <selection activeCell="F7" sqref="F7"/>
    </sheetView>
  </sheetViews>
  <sheetFormatPr defaultColWidth="9" defaultRowHeight="15.5"/>
  <cols>
    <col min="1" max="1" width="8.23046875" style="4" customWidth="1"/>
    <col min="2" max="6" width="11.84375" style="3" customWidth="1"/>
    <col min="7" max="7" width="6" style="3" customWidth="1"/>
    <col min="8" max="8" width="9" style="34"/>
    <col min="9" max="9" width="9.4609375" style="3" customWidth="1"/>
    <col min="10" max="10" width="9" style="34"/>
    <col min="11" max="11" width="9" style="3"/>
    <col min="12" max="12" width="11.23046875" style="3" bestFit="1" customWidth="1"/>
    <col min="13" max="16384" width="9" style="3"/>
  </cols>
  <sheetData>
    <row r="1" spans="1:210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0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0" ht="30" customHeight="1">
      <c r="A3" s="217" t="str">
        <f>'Moulded Panel'!A3</f>
        <v>SEXTON WEST</v>
      </c>
      <c r="B3" s="217"/>
      <c r="C3" s="217"/>
      <c r="D3" s="217"/>
      <c r="E3" s="217"/>
      <c r="F3" s="217"/>
      <c r="G3" s="217"/>
    </row>
    <row r="4" spans="1:210" ht="11.25" customHeight="1">
      <c r="B4" s="1"/>
      <c r="C4" s="2"/>
      <c r="D4" s="2"/>
      <c r="E4" s="2"/>
      <c r="F4" s="2"/>
      <c r="G4" s="1"/>
    </row>
    <row r="5" spans="1:210" ht="13.5" customHeight="1">
      <c r="B5" s="11"/>
      <c r="C5" s="11"/>
      <c r="D5" s="11"/>
      <c r="E5" s="11"/>
      <c r="F5" s="11"/>
      <c r="G5" s="12"/>
      <c r="H5" s="9"/>
    </row>
    <row r="6" spans="1:210" ht="20.25" customHeight="1">
      <c r="A6" s="218" t="s">
        <v>50</v>
      </c>
      <c r="B6" s="1"/>
      <c r="C6" s="1"/>
      <c r="D6" s="1"/>
      <c r="E6" s="1"/>
      <c r="F6" s="1"/>
      <c r="G6" s="1"/>
      <c r="H6" s="1"/>
      <c r="I6" s="34"/>
      <c r="J6" s="3"/>
    </row>
    <row r="7" spans="1:210" ht="20.25" customHeight="1">
      <c r="A7" s="218"/>
      <c r="B7" s="1"/>
      <c r="C7" s="1"/>
      <c r="D7" s="1"/>
      <c r="E7" s="1"/>
      <c r="F7" s="1"/>
      <c r="G7" s="1"/>
      <c r="H7" s="1"/>
      <c r="I7" s="34"/>
      <c r="J7" s="3"/>
    </row>
    <row r="8" spans="1:210" ht="15.75" customHeight="1">
      <c r="A8" s="218"/>
      <c r="B8" s="1"/>
      <c r="C8" s="1"/>
      <c r="D8" s="1"/>
      <c r="E8" s="1"/>
      <c r="F8" s="1"/>
      <c r="G8" s="1"/>
      <c r="H8" s="1"/>
      <c r="I8" s="34"/>
      <c r="J8" s="3"/>
    </row>
    <row r="9" spans="1:210" ht="15.75" customHeight="1">
      <c r="A9" s="218"/>
      <c r="B9" s="1"/>
      <c r="C9" s="1"/>
      <c r="D9" s="1"/>
      <c r="E9" s="1"/>
      <c r="F9" s="1"/>
      <c r="G9" s="1"/>
      <c r="H9" s="1"/>
      <c r="I9" s="34"/>
      <c r="J9" s="3"/>
    </row>
    <row r="10" spans="1:210" ht="20.25" customHeight="1">
      <c r="A10" s="218"/>
      <c r="B10" s="1"/>
      <c r="C10" s="1"/>
      <c r="D10" s="1"/>
      <c r="E10" s="1"/>
      <c r="F10" s="1"/>
      <c r="G10" s="1"/>
      <c r="H10" s="1"/>
      <c r="I10" s="34"/>
      <c r="J10" s="3"/>
    </row>
    <row r="11" spans="1:210" ht="20.25" customHeight="1">
      <c r="A11" s="218"/>
      <c r="B11" s="1"/>
      <c r="C11" s="1"/>
      <c r="D11" s="1"/>
      <c r="E11" s="1"/>
      <c r="F11" s="1"/>
      <c r="G11" s="1"/>
      <c r="H11" s="1"/>
      <c r="I11" s="34"/>
      <c r="J11" s="3"/>
    </row>
    <row r="12" spans="1:210" ht="9" customHeight="1" thickBot="1">
      <c r="B12" s="6"/>
      <c r="C12" s="6"/>
      <c r="D12" s="6"/>
      <c r="E12" s="6"/>
      <c r="F12" s="7"/>
      <c r="G12" s="7"/>
      <c r="H12" s="7"/>
      <c r="I12" s="34"/>
      <c r="J12" s="3"/>
    </row>
    <row r="13" spans="1:210" ht="38.25" customHeight="1" thickTop="1" thickBot="1">
      <c r="A13" s="16"/>
      <c r="B13" s="18" t="s">
        <v>16</v>
      </c>
      <c r="C13" s="15" t="s">
        <v>17</v>
      </c>
      <c r="D13" s="15" t="s">
        <v>18</v>
      </c>
      <c r="E13" s="15" t="s">
        <v>19</v>
      </c>
      <c r="F13" s="36"/>
      <c r="G13" s="37"/>
      <c r="H13" s="37"/>
      <c r="I13" s="3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</row>
    <row r="14" spans="1:210" ht="16.5" thickTop="1" thickBot="1">
      <c r="A14" s="20" t="s">
        <v>9</v>
      </c>
      <c r="B14" s="19" t="s">
        <v>13</v>
      </c>
      <c r="C14" s="19" t="s">
        <v>12</v>
      </c>
      <c r="D14" s="19" t="s">
        <v>12</v>
      </c>
      <c r="E14" s="19" t="s">
        <v>12</v>
      </c>
      <c r="F14" s="38"/>
      <c r="G14" s="14"/>
      <c r="H14" s="14"/>
      <c r="I14" s="3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</row>
    <row r="15" spans="1:210" ht="16.5" thickTop="1" thickBot="1">
      <c r="A15" s="20" t="s">
        <v>10</v>
      </c>
      <c r="B15" s="19" t="s">
        <v>13</v>
      </c>
      <c r="C15" s="19" t="s">
        <v>12</v>
      </c>
      <c r="D15" s="19" t="s">
        <v>12</v>
      </c>
      <c r="E15" s="19" t="s">
        <v>13</v>
      </c>
      <c r="F15" s="14"/>
      <c r="G15" s="14"/>
      <c r="H15" s="14"/>
      <c r="I15" s="3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</row>
    <row r="16" spans="1:210" ht="16.5" customHeight="1" thickTop="1" thickBot="1">
      <c r="A16" s="8"/>
      <c r="B16" s="10"/>
      <c r="C16" s="10"/>
      <c r="D16" s="11"/>
      <c r="E16" s="10"/>
      <c r="F16" s="10"/>
      <c r="G16" s="10"/>
      <c r="H16" s="10"/>
      <c r="I16" s="13"/>
      <c r="J16" s="3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</row>
    <row r="17" spans="1:210" ht="36" customHeight="1" thickTop="1" thickBot="1">
      <c r="A17" s="225" t="s">
        <v>3</v>
      </c>
      <c r="B17" s="226"/>
      <c r="C17" s="226"/>
      <c r="D17" s="227"/>
      <c r="E17" s="40" t="s">
        <v>105</v>
      </c>
      <c r="F17" s="40" t="s">
        <v>54</v>
      </c>
      <c r="G17" s="52"/>
      <c r="H17" s="33"/>
      <c r="I17" s="13"/>
      <c r="J17" s="3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</row>
    <row r="18" spans="1:210" ht="30" customHeight="1" thickTop="1" thickBot="1">
      <c r="A18" s="229" t="s">
        <v>2</v>
      </c>
      <c r="B18" s="229"/>
      <c r="C18" s="229"/>
      <c r="D18" s="229"/>
      <c r="E18" s="229"/>
      <c r="F18" s="229"/>
      <c r="G18" s="25"/>
      <c r="H18" s="33"/>
      <c r="I18" s="13"/>
      <c r="J18" s="3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</row>
    <row r="19" spans="1:210">
      <c r="A19" s="230" t="s">
        <v>30</v>
      </c>
      <c r="B19" s="231"/>
      <c r="C19" s="232" t="s">
        <v>31</v>
      </c>
      <c r="D19" s="250"/>
      <c r="E19" s="133" t="s">
        <v>49</v>
      </c>
      <c r="F19" s="133" t="s">
        <v>49</v>
      </c>
      <c r="G19" s="26"/>
      <c r="H19" s="43"/>
      <c r="I19" s="13"/>
      <c r="J19" s="3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</row>
    <row r="20" spans="1:210">
      <c r="A20" s="233" t="s">
        <v>32</v>
      </c>
      <c r="B20" s="234"/>
      <c r="C20" s="235" t="s">
        <v>39</v>
      </c>
      <c r="D20" s="251"/>
      <c r="E20" s="134" t="s">
        <v>49</v>
      </c>
      <c r="F20" s="134" t="s">
        <v>49</v>
      </c>
      <c r="G20" s="26"/>
      <c r="H20" s="43"/>
      <c r="I20" s="13"/>
      <c r="J20" s="3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</row>
    <row r="21" spans="1:210">
      <c r="A21" s="233" t="s">
        <v>33</v>
      </c>
      <c r="B21" s="234"/>
      <c r="C21" s="235" t="s">
        <v>40</v>
      </c>
      <c r="D21" s="251"/>
      <c r="E21" s="134" t="s">
        <v>49</v>
      </c>
      <c r="F21" s="134" t="s">
        <v>49</v>
      </c>
      <c r="G21" s="26"/>
      <c r="H21" s="43"/>
      <c r="I21" s="13"/>
      <c r="J21" s="3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</row>
    <row r="22" spans="1:210">
      <c r="A22" s="233" t="s">
        <v>28</v>
      </c>
      <c r="B22" s="234"/>
      <c r="C22" s="235" t="s">
        <v>29</v>
      </c>
      <c r="D22" s="251"/>
      <c r="E22" s="134" t="s">
        <v>49</v>
      </c>
      <c r="F22" s="134" t="s">
        <v>49</v>
      </c>
      <c r="G22" s="26"/>
      <c r="H22" s="43"/>
      <c r="I22" s="13"/>
      <c r="J22" s="3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</row>
    <row r="23" spans="1:210">
      <c r="A23" s="233" t="s">
        <v>34</v>
      </c>
      <c r="B23" s="234"/>
      <c r="C23" s="235" t="s">
        <v>41</v>
      </c>
      <c r="D23" s="251"/>
      <c r="E23" s="134" t="s">
        <v>49</v>
      </c>
      <c r="F23" s="134" t="s">
        <v>49</v>
      </c>
      <c r="G23" s="26"/>
      <c r="H23" s="43"/>
      <c r="I23" s="13"/>
      <c r="J23" s="3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</row>
    <row r="24" spans="1:210">
      <c r="A24" s="233" t="s">
        <v>35</v>
      </c>
      <c r="B24" s="234"/>
      <c r="C24" s="235" t="s">
        <v>42</v>
      </c>
      <c r="D24" s="251"/>
      <c r="E24" s="134" t="s">
        <v>49</v>
      </c>
      <c r="F24" s="134" t="s">
        <v>49</v>
      </c>
      <c r="G24" s="26"/>
      <c r="H24" s="43"/>
      <c r="I24" s="13"/>
      <c r="J24" s="3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</row>
    <row r="25" spans="1:210">
      <c r="A25" s="233" t="s">
        <v>20</v>
      </c>
      <c r="B25" s="234"/>
      <c r="C25" s="235" t="s">
        <v>43</v>
      </c>
      <c r="D25" s="251"/>
      <c r="E25" s="134" t="s">
        <v>49</v>
      </c>
      <c r="F25" s="134" t="s">
        <v>49</v>
      </c>
      <c r="G25" s="26"/>
      <c r="H25" s="43"/>
      <c r="I25" s="13"/>
      <c r="J25" s="3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</row>
    <row r="26" spans="1:210" s="32" customFormat="1">
      <c r="A26" s="233" t="s">
        <v>36</v>
      </c>
      <c r="B26" s="234"/>
      <c r="C26" s="235" t="s">
        <v>44</v>
      </c>
      <c r="D26" s="251"/>
      <c r="E26" s="138" t="s">
        <v>49</v>
      </c>
      <c r="F26" s="138" t="s">
        <v>49</v>
      </c>
      <c r="G26" s="53"/>
      <c r="H26" s="43"/>
      <c r="I26" s="13"/>
      <c r="J26" s="35"/>
      <c r="K26" s="13"/>
      <c r="L26" s="13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</row>
    <row r="27" spans="1:210" s="32" customFormat="1">
      <c r="A27" s="233" t="s">
        <v>37</v>
      </c>
      <c r="B27" s="234"/>
      <c r="C27" s="235" t="s">
        <v>45</v>
      </c>
      <c r="D27" s="251"/>
      <c r="E27" s="138" t="s">
        <v>49</v>
      </c>
      <c r="F27" s="138" t="s">
        <v>49</v>
      </c>
      <c r="G27" s="53"/>
      <c r="H27" s="43"/>
      <c r="I27" s="13"/>
      <c r="J27" s="35"/>
      <c r="K27" s="13"/>
      <c r="L27" s="13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</row>
    <row r="28" spans="1:210" ht="15.75" customHeight="1">
      <c r="A28" s="233" t="s">
        <v>21</v>
      </c>
      <c r="B28" s="234"/>
      <c r="C28" s="235" t="s">
        <v>46</v>
      </c>
      <c r="D28" s="251"/>
      <c r="E28" s="134" t="s">
        <v>49</v>
      </c>
      <c r="F28" s="134" t="s">
        <v>49</v>
      </c>
      <c r="G28" s="26"/>
      <c r="H28" s="43"/>
      <c r="I28" s="13"/>
      <c r="J28" s="3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</row>
    <row r="29" spans="1:210">
      <c r="A29" s="233" t="s">
        <v>22</v>
      </c>
      <c r="B29" s="234"/>
      <c r="C29" s="235" t="s">
        <v>27</v>
      </c>
      <c r="D29" s="251"/>
      <c r="E29" s="134" t="s">
        <v>49</v>
      </c>
      <c r="F29" s="134" t="s">
        <v>49</v>
      </c>
      <c r="G29" s="26"/>
      <c r="H29" s="43"/>
      <c r="I29" s="13"/>
      <c r="J29" s="3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</row>
    <row r="30" spans="1:210">
      <c r="A30" s="233" t="s">
        <v>38</v>
      </c>
      <c r="B30" s="234"/>
      <c r="C30" s="235" t="s">
        <v>47</v>
      </c>
      <c r="D30" s="251"/>
      <c r="E30" s="134" t="s">
        <v>49</v>
      </c>
      <c r="F30" s="134" t="s">
        <v>49</v>
      </c>
      <c r="G30" s="26"/>
      <c r="H30" s="43"/>
      <c r="I30" s="13"/>
      <c r="K30" s="13"/>
      <c r="L30" s="13"/>
    </row>
    <row r="31" spans="1:210" ht="16.149999999999999" customHeight="1" thickBot="1">
      <c r="A31" s="253" t="s">
        <v>24</v>
      </c>
      <c r="B31" s="254"/>
      <c r="C31" s="255" t="s">
        <v>25</v>
      </c>
      <c r="D31" s="256"/>
      <c r="E31" s="135" t="s">
        <v>49</v>
      </c>
      <c r="F31" s="135" t="s">
        <v>49</v>
      </c>
      <c r="G31" s="26"/>
      <c r="H31" s="43"/>
      <c r="I31" s="13"/>
      <c r="K31" s="13"/>
      <c r="L31" s="13"/>
    </row>
    <row r="32" spans="1:210" s="34" customFormat="1" ht="30.75" customHeight="1" thickBot="1">
      <c r="A32" s="228" t="s">
        <v>1</v>
      </c>
      <c r="B32" s="228"/>
      <c r="C32" s="228"/>
      <c r="D32" s="228"/>
      <c r="E32" s="228"/>
      <c r="F32" s="228"/>
      <c r="G32" s="25"/>
      <c r="H32" s="43"/>
      <c r="I32" s="5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</row>
    <row r="33" spans="1:210" s="34" customFormat="1" ht="15" customHeight="1">
      <c r="A33" s="230" t="s">
        <v>30</v>
      </c>
      <c r="B33" s="231"/>
      <c r="C33" s="232" t="s">
        <v>31</v>
      </c>
      <c r="D33" s="250"/>
      <c r="E33" s="133">
        <v>211.35000000000002</v>
      </c>
      <c r="F33" s="133">
        <v>182.8</v>
      </c>
      <c r="G33" s="26"/>
      <c r="H33" s="140">
        <f>F33/E33</f>
        <v>0.86491601608705937</v>
      </c>
      <c r="I33" s="5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</row>
    <row r="34" spans="1:210" s="34" customFormat="1" ht="15" customHeight="1">
      <c r="A34" s="233" t="s">
        <v>32</v>
      </c>
      <c r="B34" s="234"/>
      <c r="C34" s="235" t="s">
        <v>39</v>
      </c>
      <c r="D34" s="251"/>
      <c r="E34" s="134">
        <v>211.35000000000002</v>
      </c>
      <c r="F34" s="134">
        <v>182.8</v>
      </c>
      <c r="G34" s="26"/>
      <c r="H34" s="140">
        <f t="shared" ref="H34:H47" si="0">F34/E34</f>
        <v>0.86491601608705937</v>
      </c>
      <c r="I34" s="5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</row>
    <row r="35" spans="1:210" s="34" customFormat="1" ht="15" customHeight="1">
      <c r="A35" s="233" t="s">
        <v>33</v>
      </c>
      <c r="B35" s="234"/>
      <c r="C35" s="235" t="s">
        <v>40</v>
      </c>
      <c r="D35" s="251"/>
      <c r="E35" s="134">
        <v>211.35000000000002</v>
      </c>
      <c r="F35" s="134">
        <v>182.8</v>
      </c>
      <c r="G35" s="26"/>
      <c r="H35" s="140">
        <f t="shared" si="0"/>
        <v>0.86491601608705937</v>
      </c>
      <c r="I35" s="5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</row>
    <row r="36" spans="1:210" s="34" customFormat="1" ht="15" customHeight="1">
      <c r="A36" s="233" t="s">
        <v>28</v>
      </c>
      <c r="B36" s="234"/>
      <c r="C36" s="235" t="s">
        <v>29</v>
      </c>
      <c r="D36" s="251"/>
      <c r="E36" s="134">
        <v>211.35000000000002</v>
      </c>
      <c r="F36" s="134">
        <v>182.8</v>
      </c>
      <c r="G36" s="26"/>
      <c r="H36" s="140">
        <f t="shared" si="0"/>
        <v>0.86491601608705937</v>
      </c>
      <c r="I36" s="5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</row>
    <row r="37" spans="1:210" s="34" customFormat="1" ht="15" customHeight="1">
      <c r="A37" s="233" t="s">
        <v>34</v>
      </c>
      <c r="B37" s="234"/>
      <c r="C37" s="235" t="s">
        <v>41</v>
      </c>
      <c r="D37" s="251"/>
      <c r="E37" s="134">
        <v>215.2</v>
      </c>
      <c r="F37" s="134">
        <v>186.15</v>
      </c>
      <c r="G37" s="26"/>
      <c r="H37" s="140">
        <f t="shared" si="0"/>
        <v>0.86500929368029744</v>
      </c>
      <c r="I37" s="5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</row>
    <row r="38" spans="1:210" s="34" customFormat="1" ht="15" customHeight="1">
      <c r="A38" s="233" t="s">
        <v>35</v>
      </c>
      <c r="B38" s="234"/>
      <c r="C38" s="235" t="s">
        <v>42</v>
      </c>
      <c r="D38" s="251"/>
      <c r="E38" s="134">
        <v>215.2</v>
      </c>
      <c r="F38" s="134">
        <v>186.15</v>
      </c>
      <c r="G38" s="26"/>
      <c r="H38" s="140">
        <f t="shared" si="0"/>
        <v>0.86500929368029744</v>
      </c>
      <c r="I38" s="5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</row>
    <row r="39" spans="1:210" s="34" customFormat="1" ht="15" customHeight="1">
      <c r="A39" s="233" t="s">
        <v>20</v>
      </c>
      <c r="B39" s="234"/>
      <c r="C39" s="235" t="s">
        <v>43</v>
      </c>
      <c r="D39" s="251"/>
      <c r="E39" s="134">
        <v>215.2</v>
      </c>
      <c r="F39" s="134">
        <v>186.15</v>
      </c>
      <c r="G39" s="26"/>
      <c r="H39" s="140">
        <f t="shared" si="0"/>
        <v>0.86500929368029744</v>
      </c>
      <c r="I39" s="5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</row>
    <row r="40" spans="1:210" s="34" customFormat="1" ht="15" customHeight="1">
      <c r="A40" s="233" t="s">
        <v>36</v>
      </c>
      <c r="B40" s="234"/>
      <c r="C40" s="235" t="s">
        <v>44</v>
      </c>
      <c r="D40" s="251"/>
      <c r="E40" s="134">
        <v>218.05</v>
      </c>
      <c r="F40" s="134">
        <v>188.60000000000002</v>
      </c>
      <c r="G40" s="26"/>
      <c r="H40" s="140">
        <f t="shared" si="0"/>
        <v>0.86493923412061458</v>
      </c>
      <c r="I40" s="5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</row>
    <row r="41" spans="1:210" s="34" customFormat="1" ht="15" customHeight="1">
      <c r="A41" s="233" t="s">
        <v>37</v>
      </c>
      <c r="B41" s="234"/>
      <c r="C41" s="235" t="s">
        <v>45</v>
      </c>
      <c r="D41" s="251"/>
      <c r="E41" s="134">
        <v>218.05</v>
      </c>
      <c r="F41" s="134">
        <v>188.60000000000002</v>
      </c>
      <c r="G41" s="26"/>
      <c r="H41" s="140">
        <f t="shared" si="0"/>
        <v>0.86493923412061458</v>
      </c>
      <c r="I41" s="5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</row>
    <row r="42" spans="1:210" s="34" customFormat="1">
      <c r="A42" s="233" t="s">
        <v>21</v>
      </c>
      <c r="B42" s="234"/>
      <c r="C42" s="235" t="s">
        <v>46</v>
      </c>
      <c r="D42" s="251"/>
      <c r="E42" s="134">
        <v>218.05</v>
      </c>
      <c r="F42" s="134">
        <v>188.60000000000002</v>
      </c>
      <c r="G42" s="26"/>
      <c r="H42" s="140">
        <f t="shared" si="0"/>
        <v>0.86493923412061458</v>
      </c>
      <c r="I42" s="5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</row>
    <row r="43" spans="1:210" s="34" customFormat="1">
      <c r="A43" s="233" t="s">
        <v>22</v>
      </c>
      <c r="B43" s="234"/>
      <c r="C43" s="235" t="s">
        <v>27</v>
      </c>
      <c r="D43" s="251"/>
      <c r="E43" s="134">
        <v>220.85000000000002</v>
      </c>
      <c r="F43" s="134">
        <v>191.05</v>
      </c>
      <c r="G43" s="26"/>
      <c r="H43" s="140">
        <f t="shared" si="0"/>
        <v>0.86506678741227072</v>
      </c>
      <c r="I43" s="5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</row>
    <row r="44" spans="1:210" s="34" customFormat="1">
      <c r="A44" s="233" t="s">
        <v>38</v>
      </c>
      <c r="B44" s="234"/>
      <c r="C44" s="235" t="s">
        <v>47</v>
      </c>
      <c r="D44" s="251"/>
      <c r="E44" s="134">
        <v>224.85000000000002</v>
      </c>
      <c r="F44" s="134">
        <v>194.5</v>
      </c>
      <c r="G44" s="26"/>
      <c r="H44" s="140">
        <f t="shared" si="0"/>
        <v>0.86502112519457408</v>
      </c>
      <c r="I44" s="5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</row>
    <row r="45" spans="1:210" s="34" customFormat="1" ht="16.149999999999999" customHeight="1">
      <c r="A45" s="233" t="s">
        <v>24</v>
      </c>
      <c r="B45" s="234"/>
      <c r="C45" s="235" t="s">
        <v>25</v>
      </c>
      <c r="D45" s="251"/>
      <c r="E45" s="134">
        <v>224.85000000000002</v>
      </c>
      <c r="F45" s="134">
        <v>194.5</v>
      </c>
      <c r="G45" s="26"/>
      <c r="H45" s="140">
        <f t="shared" si="0"/>
        <v>0.86502112519457408</v>
      </c>
      <c r="I45" s="5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</row>
    <row r="46" spans="1:210" s="34" customFormat="1" ht="16.149999999999999" customHeight="1">
      <c r="A46" s="236" t="s">
        <v>59</v>
      </c>
      <c r="B46" s="237"/>
      <c r="C46" s="237"/>
      <c r="D46" s="238"/>
      <c r="E46" s="134">
        <v>13.8</v>
      </c>
      <c r="F46" s="134">
        <v>11.950000000000001</v>
      </c>
      <c r="G46" s="26"/>
      <c r="H46" s="140">
        <f t="shared" si="0"/>
        <v>0.86594202898550732</v>
      </c>
      <c r="I46" s="5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</row>
    <row r="47" spans="1:210" s="34" customFormat="1" ht="16.149999999999999" customHeight="1" thickBot="1">
      <c r="A47" s="239" t="s">
        <v>60</v>
      </c>
      <c r="B47" s="240"/>
      <c r="C47" s="240"/>
      <c r="D47" s="241"/>
      <c r="E47" s="135">
        <v>102.80000000000001</v>
      </c>
      <c r="F47" s="135">
        <v>88.9</v>
      </c>
      <c r="G47" s="26"/>
      <c r="H47" s="140">
        <f t="shared" si="0"/>
        <v>0.86478599221789876</v>
      </c>
      <c r="I47" s="5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</row>
    <row r="48" spans="1:210" ht="21.75" customHeight="1">
      <c r="H48" s="43"/>
    </row>
    <row r="49" spans="8:8">
      <c r="H49" s="43"/>
    </row>
    <row r="50" spans="8:8">
      <c r="H50" s="43"/>
    </row>
    <row r="51" spans="8:8">
      <c r="H51" s="43"/>
    </row>
    <row r="52" spans="8:8">
      <c r="H52" s="43"/>
    </row>
    <row r="53" spans="8:8">
      <c r="H53" s="43"/>
    </row>
    <row r="54" spans="8:8">
      <c r="H54" s="43"/>
    </row>
    <row r="55" spans="8:8">
      <c r="H55" s="43"/>
    </row>
    <row r="56" spans="8:8">
      <c r="H56" s="43"/>
    </row>
    <row r="57" spans="8:8">
      <c r="H57" s="43"/>
    </row>
    <row r="58" spans="8:8">
      <c r="H58" s="43"/>
    </row>
    <row r="59" spans="8:8">
      <c r="H59" s="43"/>
    </row>
    <row r="60" spans="8:8">
      <c r="H60" s="43"/>
    </row>
    <row r="61" spans="8:8">
      <c r="H61" s="43"/>
    </row>
  </sheetData>
  <mergeCells count="61">
    <mergeCell ref="A46:D46"/>
    <mergeCell ref="A47:D47"/>
    <mergeCell ref="A43:B43"/>
    <mergeCell ref="C43:D43"/>
    <mergeCell ref="A44:B44"/>
    <mergeCell ref="C44:D44"/>
    <mergeCell ref="A45:B45"/>
    <mergeCell ref="C45:D45"/>
    <mergeCell ref="A40:B40"/>
    <mergeCell ref="C40:D40"/>
    <mergeCell ref="A41:B41"/>
    <mergeCell ref="C41:D41"/>
    <mergeCell ref="A42:B42"/>
    <mergeCell ref="C42:D42"/>
    <mergeCell ref="A37:B37"/>
    <mergeCell ref="C37:D37"/>
    <mergeCell ref="A38:B38"/>
    <mergeCell ref="C38:D38"/>
    <mergeCell ref="A39:B39"/>
    <mergeCell ref="C39:D39"/>
    <mergeCell ref="A34:B34"/>
    <mergeCell ref="C34:D34"/>
    <mergeCell ref="A35:B35"/>
    <mergeCell ref="C35:D35"/>
    <mergeCell ref="A36:B36"/>
    <mergeCell ref="C36:D36"/>
    <mergeCell ref="A33:B33"/>
    <mergeCell ref="C33:D33"/>
    <mergeCell ref="A31:B31"/>
    <mergeCell ref="C31:D31"/>
    <mergeCell ref="A32:F3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8:F18"/>
    <mergeCell ref="A1:G1"/>
    <mergeCell ref="A2:G2"/>
    <mergeCell ref="A3:G3"/>
    <mergeCell ref="A6:A11"/>
    <mergeCell ref="A17:D17"/>
  </mergeCells>
  <printOptions horizontalCentered="1"/>
  <pageMargins left="0.31496062992126" right="0.31496062992126" top="0.55118110236220497" bottom="0.35433070866141703" header="0.31496062992126" footer="0.31496062992126"/>
  <pageSetup scale="88" orientation="portrait" r:id="rId1"/>
  <headerFooter alignWithMargins="0">
    <oddFooter>&amp;L&amp;P
&amp;RSEXTON WEST
April 4, 2025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0E94-B898-4155-BA0C-DC961C359E7B}">
  <sheetPr transitionEvaluation="1">
    <tabColor theme="9" tint="0.59999389629810485"/>
    <pageSetUpPr fitToPage="1"/>
  </sheetPr>
  <dimension ref="A1:HB61"/>
  <sheetViews>
    <sheetView defaultGridColor="0" view="pageBreakPreview" colorId="22" zoomScale="90" zoomScaleNormal="110" zoomScaleSheetLayoutView="90" workbookViewId="0">
      <selection activeCell="F10" sqref="F10"/>
    </sheetView>
  </sheetViews>
  <sheetFormatPr defaultColWidth="9" defaultRowHeight="15.5"/>
  <cols>
    <col min="1" max="1" width="8.23046875" style="4" customWidth="1"/>
    <col min="2" max="6" width="11.84375" style="3" customWidth="1"/>
    <col min="7" max="7" width="6" style="3" customWidth="1"/>
    <col min="8" max="8" width="9" style="34"/>
    <col min="9" max="9" width="9.4609375" style="3" customWidth="1"/>
    <col min="10" max="10" width="9" style="34"/>
    <col min="11" max="11" width="9" style="3"/>
    <col min="12" max="12" width="11.23046875" style="3" bestFit="1" customWidth="1"/>
    <col min="13" max="16384" width="9" style="3"/>
  </cols>
  <sheetData>
    <row r="1" spans="1:210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0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0" ht="30" customHeight="1">
      <c r="A3" s="217" t="str">
        <f>'Moulded Panel'!A3</f>
        <v>SEXTON WEST</v>
      </c>
      <c r="B3" s="217"/>
      <c r="C3" s="217"/>
      <c r="D3" s="217"/>
      <c r="E3" s="217"/>
      <c r="F3" s="217"/>
      <c r="G3" s="217"/>
    </row>
    <row r="4" spans="1:210" ht="11.25" customHeight="1">
      <c r="B4" s="1"/>
      <c r="C4" s="2"/>
      <c r="D4" s="2"/>
      <c r="E4" s="2"/>
      <c r="F4" s="2"/>
      <c r="G4" s="1"/>
    </row>
    <row r="5" spans="1:210" ht="13.5" customHeight="1">
      <c r="B5" s="11"/>
      <c r="C5" s="11"/>
      <c r="D5" s="11"/>
      <c r="E5" s="11"/>
      <c r="F5" s="11"/>
      <c r="G5" s="12"/>
      <c r="H5" s="9"/>
    </row>
    <row r="6" spans="1:210" ht="20.25" customHeight="1">
      <c r="A6" s="218" t="s">
        <v>50</v>
      </c>
      <c r="B6" s="1"/>
      <c r="C6" s="1"/>
      <c r="D6" s="1"/>
      <c r="E6" s="1"/>
      <c r="F6" s="1"/>
      <c r="G6" s="1"/>
      <c r="H6" s="1"/>
      <c r="I6" s="34"/>
      <c r="J6" s="3"/>
    </row>
    <row r="7" spans="1:210" ht="20.25" customHeight="1">
      <c r="A7" s="218"/>
      <c r="B7" s="1"/>
      <c r="C7" s="1"/>
      <c r="D7" s="1"/>
      <c r="E7" s="1"/>
      <c r="F7" s="1"/>
      <c r="G7" s="1"/>
      <c r="H7" s="1"/>
      <c r="I7" s="34"/>
      <c r="J7" s="3"/>
    </row>
    <row r="8" spans="1:210" ht="15.75" customHeight="1">
      <c r="A8" s="218"/>
      <c r="B8" s="1"/>
      <c r="C8" s="1"/>
      <c r="D8" s="1"/>
      <c r="E8" s="1"/>
      <c r="F8" s="1"/>
      <c r="G8" s="1"/>
      <c r="H8" s="1"/>
      <c r="I8" s="34"/>
      <c r="J8" s="3"/>
    </row>
    <row r="9" spans="1:210" ht="15.75" customHeight="1">
      <c r="A9" s="218"/>
      <c r="B9" s="1"/>
      <c r="C9" s="1"/>
      <c r="D9" s="1"/>
      <c r="E9" s="1"/>
      <c r="F9" s="1"/>
      <c r="G9" s="1"/>
      <c r="H9" s="1"/>
      <c r="I9" s="34"/>
      <c r="J9" s="3"/>
    </row>
    <row r="10" spans="1:210" ht="20.25" customHeight="1">
      <c r="A10" s="218"/>
      <c r="B10" s="1"/>
      <c r="C10" s="1"/>
      <c r="D10" s="1"/>
      <c r="E10" s="1"/>
      <c r="F10" s="1"/>
      <c r="G10" s="1"/>
      <c r="H10" s="1"/>
      <c r="I10" s="34"/>
      <c r="J10" s="3"/>
    </row>
    <row r="11" spans="1:210" ht="20.25" customHeight="1">
      <c r="A11" s="218"/>
      <c r="B11" s="1"/>
      <c r="C11" s="1"/>
      <c r="D11" s="1"/>
      <c r="E11" s="1"/>
      <c r="F11" s="1"/>
      <c r="G11" s="1"/>
      <c r="H11" s="1"/>
      <c r="I11" s="34"/>
      <c r="J11" s="3"/>
    </row>
    <row r="12" spans="1:210" ht="9" customHeight="1" thickBot="1">
      <c r="B12" s="6"/>
      <c r="C12" s="6"/>
      <c r="D12" s="6"/>
      <c r="E12" s="6"/>
      <c r="F12" s="7"/>
      <c r="G12" s="7"/>
      <c r="H12" s="7"/>
      <c r="I12" s="34"/>
      <c r="J12" s="3"/>
    </row>
    <row r="13" spans="1:210" ht="38.25" customHeight="1" thickTop="1" thickBot="1">
      <c r="A13" s="16"/>
      <c r="B13" s="18" t="s">
        <v>16</v>
      </c>
      <c r="C13" s="15" t="s">
        <v>17</v>
      </c>
      <c r="D13" s="15" t="s">
        <v>18</v>
      </c>
      <c r="E13" s="15" t="s">
        <v>19</v>
      </c>
      <c r="F13" s="36"/>
      <c r="G13" s="37"/>
      <c r="H13" s="37"/>
      <c r="I13" s="3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</row>
    <row r="14" spans="1:210" ht="16.5" thickTop="1" thickBot="1">
      <c r="A14" s="20" t="s">
        <v>9</v>
      </c>
      <c r="B14" s="19" t="s">
        <v>13</v>
      </c>
      <c r="C14" s="19" t="s">
        <v>12</v>
      </c>
      <c r="D14" s="19" t="s">
        <v>12</v>
      </c>
      <c r="E14" s="19" t="s">
        <v>12</v>
      </c>
      <c r="F14" s="38"/>
      <c r="G14" s="14"/>
      <c r="H14" s="14"/>
      <c r="I14" s="3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</row>
    <row r="15" spans="1:210" ht="16.5" thickTop="1" thickBot="1">
      <c r="A15" s="20" t="s">
        <v>10</v>
      </c>
      <c r="B15" s="19" t="s">
        <v>13</v>
      </c>
      <c r="C15" s="19" t="s">
        <v>12</v>
      </c>
      <c r="D15" s="19" t="s">
        <v>12</v>
      </c>
      <c r="E15" s="19" t="s">
        <v>13</v>
      </c>
      <c r="F15" s="14"/>
      <c r="G15" s="14"/>
      <c r="H15" s="14"/>
      <c r="I15" s="3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</row>
    <row r="16" spans="1:210" ht="16.5" customHeight="1" thickTop="1" thickBot="1">
      <c r="A16" s="8"/>
      <c r="B16" s="10"/>
      <c r="C16" s="10"/>
      <c r="D16" s="11"/>
      <c r="E16" s="10"/>
      <c r="F16" s="10"/>
      <c r="G16" s="10"/>
      <c r="H16" s="10"/>
      <c r="I16" s="13"/>
      <c r="J16" s="3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</row>
    <row r="17" spans="1:210" ht="36" customHeight="1" thickTop="1" thickBot="1">
      <c r="A17" s="225" t="s">
        <v>3</v>
      </c>
      <c r="B17" s="226"/>
      <c r="C17" s="226"/>
      <c r="D17" s="227"/>
      <c r="E17" s="40" t="s">
        <v>105</v>
      </c>
      <c r="F17" s="40" t="s">
        <v>54</v>
      </c>
      <c r="G17" s="52"/>
      <c r="H17" s="33"/>
      <c r="I17" s="13"/>
      <c r="J17" s="3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</row>
    <row r="18" spans="1:210" ht="30" customHeight="1" thickTop="1" thickBot="1">
      <c r="A18" s="229" t="s">
        <v>111</v>
      </c>
      <c r="B18" s="229"/>
      <c r="C18" s="229"/>
      <c r="D18" s="229"/>
      <c r="E18" s="229"/>
      <c r="F18" s="229"/>
      <c r="G18" s="25"/>
      <c r="H18" s="33"/>
      <c r="I18" s="13"/>
      <c r="J18" s="3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</row>
    <row r="19" spans="1:210">
      <c r="A19" s="230" t="s">
        <v>30</v>
      </c>
      <c r="B19" s="231"/>
      <c r="C19" s="232" t="s">
        <v>31</v>
      </c>
      <c r="D19" s="250"/>
      <c r="E19" s="133">
        <v>149.85000000000002</v>
      </c>
      <c r="F19" s="133">
        <v>129.6</v>
      </c>
      <c r="G19" s="26"/>
      <c r="H19" s="140">
        <f t="shared" ref="H19:H33" si="0">F19/E19</f>
        <v>0.86486486486486469</v>
      </c>
      <c r="I19" s="132">
        <f>E19-'Flat Panel'!E19</f>
        <v>65.700000000000017</v>
      </c>
      <c r="J19" s="3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</row>
    <row r="20" spans="1:210">
      <c r="A20" s="233" t="s">
        <v>32</v>
      </c>
      <c r="B20" s="234"/>
      <c r="C20" s="235" t="s">
        <v>39</v>
      </c>
      <c r="D20" s="251"/>
      <c r="E20" s="134">
        <v>149.85000000000002</v>
      </c>
      <c r="F20" s="134">
        <v>129.6</v>
      </c>
      <c r="G20" s="26"/>
      <c r="H20" s="140">
        <f t="shared" si="0"/>
        <v>0.86486486486486469</v>
      </c>
      <c r="I20" s="132">
        <f>E20-'Flat Panel'!E20</f>
        <v>65.700000000000017</v>
      </c>
      <c r="J20" s="3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</row>
    <row r="21" spans="1:210">
      <c r="A21" s="233" t="s">
        <v>33</v>
      </c>
      <c r="B21" s="234"/>
      <c r="C21" s="235" t="s">
        <v>40</v>
      </c>
      <c r="D21" s="251"/>
      <c r="E21" s="134">
        <v>149.85000000000002</v>
      </c>
      <c r="F21" s="134">
        <v>129.6</v>
      </c>
      <c r="G21" s="26"/>
      <c r="H21" s="140">
        <f t="shared" si="0"/>
        <v>0.86486486486486469</v>
      </c>
      <c r="I21" s="132">
        <f>E21-'Flat Panel'!E21</f>
        <v>65.700000000000017</v>
      </c>
      <c r="J21" s="3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</row>
    <row r="22" spans="1:210">
      <c r="A22" s="233" t="s">
        <v>28</v>
      </c>
      <c r="B22" s="234"/>
      <c r="C22" s="235" t="s">
        <v>29</v>
      </c>
      <c r="D22" s="251"/>
      <c r="E22" s="134">
        <v>149.85000000000002</v>
      </c>
      <c r="F22" s="134">
        <v>129.6</v>
      </c>
      <c r="G22" s="26"/>
      <c r="H22" s="140">
        <f t="shared" si="0"/>
        <v>0.86486486486486469</v>
      </c>
      <c r="I22" s="132">
        <f>E22-'Flat Panel'!E22</f>
        <v>65.700000000000017</v>
      </c>
      <c r="J22" s="3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</row>
    <row r="23" spans="1:210">
      <c r="A23" s="233" t="s">
        <v>34</v>
      </c>
      <c r="B23" s="234"/>
      <c r="C23" s="235" t="s">
        <v>41</v>
      </c>
      <c r="D23" s="251"/>
      <c r="E23" s="134">
        <v>153.69999999999999</v>
      </c>
      <c r="F23" s="134">
        <v>132.95000000000002</v>
      </c>
      <c r="G23" s="26"/>
      <c r="H23" s="140">
        <f t="shared" si="0"/>
        <v>0.8649967469095643</v>
      </c>
      <c r="I23" s="132">
        <f>E23-'Flat Panel'!E23</f>
        <v>65.699999999999989</v>
      </c>
      <c r="J23" s="3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</row>
    <row r="24" spans="1:210">
      <c r="A24" s="233" t="s">
        <v>35</v>
      </c>
      <c r="B24" s="234"/>
      <c r="C24" s="235" t="s">
        <v>42</v>
      </c>
      <c r="D24" s="251"/>
      <c r="E24" s="134">
        <v>153.69999999999999</v>
      </c>
      <c r="F24" s="134">
        <v>132.95000000000002</v>
      </c>
      <c r="G24" s="26"/>
      <c r="H24" s="140">
        <f t="shared" si="0"/>
        <v>0.8649967469095643</v>
      </c>
      <c r="I24" s="132">
        <f>E24-'Flat Panel'!E24</f>
        <v>65.699999999999989</v>
      </c>
      <c r="J24" s="3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</row>
    <row r="25" spans="1:210">
      <c r="A25" s="233" t="s">
        <v>20</v>
      </c>
      <c r="B25" s="234"/>
      <c r="C25" s="235" t="s">
        <v>43</v>
      </c>
      <c r="D25" s="251"/>
      <c r="E25" s="134">
        <v>153.69999999999999</v>
      </c>
      <c r="F25" s="134">
        <v>132.95000000000002</v>
      </c>
      <c r="G25" s="26"/>
      <c r="H25" s="140">
        <f t="shared" si="0"/>
        <v>0.8649967469095643</v>
      </c>
      <c r="I25" s="132">
        <f>E25-'Flat Panel'!E25</f>
        <v>65.699999999999989</v>
      </c>
      <c r="J25" s="3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</row>
    <row r="26" spans="1:210" s="32" customFormat="1">
      <c r="A26" s="233" t="s">
        <v>36</v>
      </c>
      <c r="B26" s="234"/>
      <c r="C26" s="235" t="s">
        <v>44</v>
      </c>
      <c r="D26" s="251"/>
      <c r="E26" s="134">
        <v>156.55000000000001</v>
      </c>
      <c r="F26" s="134">
        <v>135.4</v>
      </c>
      <c r="G26" s="26"/>
      <c r="H26" s="140">
        <f t="shared" si="0"/>
        <v>0.86489939316512299</v>
      </c>
      <c r="I26" s="132">
        <f>E26-'Flat Panel'!E26</f>
        <v>65.7</v>
      </c>
      <c r="J26" s="35"/>
      <c r="K26" s="13"/>
      <c r="L26" s="13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</row>
    <row r="27" spans="1:210" s="32" customFormat="1">
      <c r="A27" s="233" t="s">
        <v>37</v>
      </c>
      <c r="B27" s="234"/>
      <c r="C27" s="235" t="s">
        <v>45</v>
      </c>
      <c r="D27" s="251"/>
      <c r="E27" s="134">
        <v>156.55000000000001</v>
      </c>
      <c r="F27" s="134">
        <v>135.4</v>
      </c>
      <c r="G27" s="26"/>
      <c r="H27" s="140">
        <f t="shared" si="0"/>
        <v>0.86489939316512299</v>
      </c>
      <c r="I27" s="132">
        <f>E27-'Flat Panel'!E27</f>
        <v>65.7</v>
      </c>
      <c r="J27" s="35"/>
      <c r="K27" s="13"/>
      <c r="L27" s="13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</row>
    <row r="28" spans="1:210" ht="15.75" customHeight="1">
      <c r="A28" s="233" t="s">
        <v>21</v>
      </c>
      <c r="B28" s="234"/>
      <c r="C28" s="235" t="s">
        <v>46</v>
      </c>
      <c r="D28" s="251"/>
      <c r="E28" s="134">
        <v>156.55000000000001</v>
      </c>
      <c r="F28" s="134">
        <v>135.4</v>
      </c>
      <c r="G28" s="26"/>
      <c r="H28" s="140">
        <f t="shared" si="0"/>
        <v>0.86489939316512299</v>
      </c>
      <c r="I28" s="132">
        <f>E28-'Flat Panel'!E28</f>
        <v>65.7</v>
      </c>
      <c r="J28" s="3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</row>
    <row r="29" spans="1:210">
      <c r="A29" s="233" t="s">
        <v>22</v>
      </c>
      <c r="B29" s="234"/>
      <c r="C29" s="235" t="s">
        <v>27</v>
      </c>
      <c r="D29" s="251"/>
      <c r="E29" s="134">
        <v>159.35000000000002</v>
      </c>
      <c r="F29" s="134">
        <v>137.85</v>
      </c>
      <c r="G29" s="26"/>
      <c r="H29" s="140">
        <f t="shared" si="0"/>
        <v>0.86507687480389062</v>
      </c>
      <c r="I29" s="132">
        <f>E29-'Flat Panel'!E29</f>
        <v>65.700000000000017</v>
      </c>
      <c r="J29" s="3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</row>
    <row r="30" spans="1:210">
      <c r="A30" s="233" t="s">
        <v>38</v>
      </c>
      <c r="B30" s="234"/>
      <c r="C30" s="235" t="s">
        <v>47</v>
      </c>
      <c r="D30" s="251"/>
      <c r="E30" s="134">
        <v>163.35000000000002</v>
      </c>
      <c r="F30" s="134">
        <v>141.30000000000001</v>
      </c>
      <c r="G30" s="26"/>
      <c r="H30" s="140">
        <f t="shared" si="0"/>
        <v>0.86501377410468316</v>
      </c>
      <c r="I30" s="132">
        <f>E30-'Flat Panel'!E30</f>
        <v>65.700000000000017</v>
      </c>
      <c r="K30" s="13"/>
      <c r="L30" s="13"/>
    </row>
    <row r="31" spans="1:210" ht="16.149999999999999" customHeight="1">
      <c r="A31" s="233" t="s">
        <v>24</v>
      </c>
      <c r="B31" s="234"/>
      <c r="C31" s="235" t="s">
        <v>25</v>
      </c>
      <c r="D31" s="251"/>
      <c r="E31" s="134">
        <v>163.35000000000002</v>
      </c>
      <c r="F31" s="134">
        <v>141.30000000000001</v>
      </c>
      <c r="G31" s="26"/>
      <c r="H31" s="140">
        <f t="shared" si="0"/>
        <v>0.86501377410468316</v>
      </c>
      <c r="I31" s="132">
        <f>E31-'Flat Panel'!E31</f>
        <v>65.700000000000017</v>
      </c>
      <c r="K31" s="13"/>
      <c r="L31" s="13"/>
    </row>
    <row r="32" spans="1:210" ht="16.149999999999999" customHeight="1">
      <c r="A32" s="236" t="s">
        <v>59</v>
      </c>
      <c r="B32" s="237"/>
      <c r="C32" s="237"/>
      <c r="D32" s="238"/>
      <c r="E32" s="134">
        <v>30.75</v>
      </c>
      <c r="F32" s="134">
        <v>26.6</v>
      </c>
      <c r="G32" s="26"/>
      <c r="H32" s="140">
        <f t="shared" si="0"/>
        <v>0.86504065040650413</v>
      </c>
      <c r="I32" s="13"/>
      <c r="K32" s="13"/>
      <c r="L32" s="13"/>
    </row>
    <row r="33" spans="1:210" ht="16.149999999999999" customHeight="1" thickBot="1">
      <c r="A33" s="239" t="s">
        <v>60</v>
      </c>
      <c r="B33" s="240"/>
      <c r="C33" s="240"/>
      <c r="D33" s="241"/>
      <c r="E33" s="135">
        <v>85.350000000000009</v>
      </c>
      <c r="F33" s="135">
        <v>73.850000000000009</v>
      </c>
      <c r="G33" s="26"/>
      <c r="H33" s="140">
        <f t="shared" si="0"/>
        <v>0.86526069127123606</v>
      </c>
      <c r="I33" s="13"/>
      <c r="K33" s="13"/>
      <c r="L33" s="13"/>
    </row>
    <row r="34" spans="1:210" s="34" customFormat="1" ht="30.75" customHeight="1" thickBot="1">
      <c r="A34" s="228" t="s">
        <v>117</v>
      </c>
      <c r="B34" s="228"/>
      <c r="C34" s="228"/>
      <c r="D34" s="228"/>
      <c r="E34" s="228"/>
      <c r="F34" s="228"/>
      <c r="G34" s="25"/>
      <c r="H34" s="43"/>
      <c r="I34" s="5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</row>
    <row r="35" spans="1:210" s="34" customFormat="1" ht="15" customHeight="1">
      <c r="A35" s="230" t="s">
        <v>30</v>
      </c>
      <c r="B35" s="231"/>
      <c r="C35" s="232" t="s">
        <v>31</v>
      </c>
      <c r="D35" s="250"/>
      <c r="E35" s="133">
        <v>163.65</v>
      </c>
      <c r="F35" s="133">
        <v>141.55000000000001</v>
      </c>
      <c r="G35" s="26"/>
      <c r="H35" s="140">
        <f>F35/E35</f>
        <v>0.86495569813626649</v>
      </c>
      <c r="I35" s="5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</row>
    <row r="36" spans="1:210" s="34" customFormat="1" ht="15" customHeight="1">
      <c r="A36" s="233" t="s">
        <v>32</v>
      </c>
      <c r="B36" s="234"/>
      <c r="C36" s="235" t="s">
        <v>39</v>
      </c>
      <c r="D36" s="251"/>
      <c r="E36" s="134">
        <v>163.65</v>
      </c>
      <c r="F36" s="134">
        <v>141.55000000000001</v>
      </c>
      <c r="G36" s="26"/>
      <c r="H36" s="140">
        <f t="shared" ref="H36:H49" si="1">F36/E36</f>
        <v>0.86495569813626649</v>
      </c>
      <c r="I36" s="5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</row>
    <row r="37" spans="1:210" s="34" customFormat="1" ht="15" customHeight="1">
      <c r="A37" s="233" t="s">
        <v>33</v>
      </c>
      <c r="B37" s="234"/>
      <c r="C37" s="235" t="s">
        <v>40</v>
      </c>
      <c r="D37" s="251"/>
      <c r="E37" s="134">
        <v>163.65</v>
      </c>
      <c r="F37" s="134">
        <v>141.55000000000001</v>
      </c>
      <c r="G37" s="26"/>
      <c r="H37" s="140">
        <f t="shared" si="1"/>
        <v>0.86495569813626649</v>
      </c>
      <c r="I37" s="5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</row>
    <row r="38" spans="1:210" s="34" customFormat="1" ht="15" customHeight="1">
      <c r="A38" s="233" t="s">
        <v>28</v>
      </c>
      <c r="B38" s="234"/>
      <c r="C38" s="235" t="s">
        <v>29</v>
      </c>
      <c r="D38" s="251"/>
      <c r="E38" s="134">
        <v>163.65</v>
      </c>
      <c r="F38" s="134">
        <v>141.55000000000001</v>
      </c>
      <c r="G38" s="26"/>
      <c r="H38" s="140">
        <f t="shared" si="1"/>
        <v>0.86495569813626649</v>
      </c>
      <c r="I38" s="5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</row>
    <row r="39" spans="1:210" s="34" customFormat="1" ht="15" customHeight="1">
      <c r="A39" s="233" t="s">
        <v>34</v>
      </c>
      <c r="B39" s="234"/>
      <c r="C39" s="235" t="s">
        <v>41</v>
      </c>
      <c r="D39" s="251"/>
      <c r="E39" s="134">
        <v>167.5</v>
      </c>
      <c r="F39" s="134">
        <v>144.9</v>
      </c>
      <c r="G39" s="26"/>
      <c r="H39" s="140">
        <f t="shared" si="1"/>
        <v>0.86507462686567171</v>
      </c>
      <c r="I39" s="5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</row>
    <row r="40" spans="1:210" s="34" customFormat="1" ht="15" customHeight="1">
      <c r="A40" s="233" t="s">
        <v>35</v>
      </c>
      <c r="B40" s="234"/>
      <c r="C40" s="235" t="s">
        <v>42</v>
      </c>
      <c r="D40" s="251"/>
      <c r="E40" s="134">
        <v>167.5</v>
      </c>
      <c r="F40" s="134">
        <v>144.9</v>
      </c>
      <c r="G40" s="26"/>
      <c r="H40" s="140">
        <f t="shared" si="1"/>
        <v>0.86507462686567171</v>
      </c>
      <c r="I40" s="5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</row>
    <row r="41" spans="1:210" s="34" customFormat="1" ht="15" customHeight="1">
      <c r="A41" s="233" t="s">
        <v>20</v>
      </c>
      <c r="B41" s="234"/>
      <c r="C41" s="235" t="s">
        <v>43</v>
      </c>
      <c r="D41" s="251"/>
      <c r="E41" s="134">
        <v>167.5</v>
      </c>
      <c r="F41" s="134">
        <v>144.9</v>
      </c>
      <c r="G41" s="26"/>
      <c r="H41" s="140">
        <f t="shared" si="1"/>
        <v>0.86507462686567171</v>
      </c>
      <c r="I41" s="5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</row>
    <row r="42" spans="1:210" s="34" customFormat="1" ht="15" customHeight="1">
      <c r="A42" s="233" t="s">
        <v>36</v>
      </c>
      <c r="B42" s="234"/>
      <c r="C42" s="235" t="s">
        <v>44</v>
      </c>
      <c r="D42" s="251"/>
      <c r="E42" s="134">
        <v>170.35000000000002</v>
      </c>
      <c r="F42" s="134">
        <v>147.35</v>
      </c>
      <c r="G42" s="26"/>
      <c r="H42" s="140">
        <f t="shared" si="1"/>
        <v>0.86498385676548273</v>
      </c>
      <c r="I42" s="5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</row>
    <row r="43" spans="1:210" s="34" customFormat="1" ht="15" customHeight="1">
      <c r="A43" s="233" t="s">
        <v>37</v>
      </c>
      <c r="B43" s="234"/>
      <c r="C43" s="235" t="s">
        <v>45</v>
      </c>
      <c r="D43" s="251"/>
      <c r="E43" s="134">
        <v>170.35000000000002</v>
      </c>
      <c r="F43" s="134">
        <v>147.35</v>
      </c>
      <c r="G43" s="26"/>
      <c r="H43" s="140">
        <f t="shared" si="1"/>
        <v>0.86498385676548273</v>
      </c>
      <c r="I43" s="5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</row>
    <row r="44" spans="1:210" s="34" customFormat="1">
      <c r="A44" s="233" t="s">
        <v>21</v>
      </c>
      <c r="B44" s="234"/>
      <c r="C44" s="235" t="s">
        <v>46</v>
      </c>
      <c r="D44" s="251"/>
      <c r="E44" s="134">
        <v>170.35000000000002</v>
      </c>
      <c r="F44" s="134">
        <v>147.35</v>
      </c>
      <c r="G44" s="26"/>
      <c r="H44" s="140">
        <f t="shared" si="1"/>
        <v>0.86498385676548273</v>
      </c>
      <c r="I44" s="5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</row>
    <row r="45" spans="1:210" s="34" customFormat="1">
      <c r="A45" s="233" t="s">
        <v>22</v>
      </c>
      <c r="B45" s="234"/>
      <c r="C45" s="235" t="s">
        <v>27</v>
      </c>
      <c r="D45" s="251"/>
      <c r="E45" s="134">
        <v>173.15</v>
      </c>
      <c r="F45" s="134">
        <v>149.75</v>
      </c>
      <c r="G45" s="26"/>
      <c r="H45" s="140">
        <f t="shared" si="1"/>
        <v>0.8648570603522957</v>
      </c>
      <c r="I45" s="5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</row>
    <row r="46" spans="1:210" s="34" customFormat="1">
      <c r="A46" s="233" t="s">
        <v>38</v>
      </c>
      <c r="B46" s="234"/>
      <c r="C46" s="235" t="s">
        <v>47</v>
      </c>
      <c r="D46" s="251"/>
      <c r="E46" s="134">
        <v>177.15</v>
      </c>
      <c r="F46" s="134">
        <v>153.25</v>
      </c>
      <c r="G46" s="26"/>
      <c r="H46" s="140">
        <f t="shared" si="1"/>
        <v>0.86508608523849839</v>
      </c>
      <c r="I46" s="5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</row>
    <row r="47" spans="1:210" s="34" customFormat="1" ht="16.149999999999999" customHeight="1">
      <c r="A47" s="233" t="s">
        <v>24</v>
      </c>
      <c r="B47" s="234"/>
      <c r="C47" s="235" t="s">
        <v>25</v>
      </c>
      <c r="D47" s="251"/>
      <c r="E47" s="134">
        <v>177.15</v>
      </c>
      <c r="F47" s="134">
        <v>153.25</v>
      </c>
      <c r="G47" s="26"/>
      <c r="H47" s="140">
        <f t="shared" si="1"/>
        <v>0.86508608523849839</v>
      </c>
      <c r="I47" s="5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</row>
    <row r="48" spans="1:210" ht="15" customHeight="1">
      <c r="A48" s="236" t="s">
        <v>59</v>
      </c>
      <c r="B48" s="237"/>
      <c r="C48" s="237"/>
      <c r="D48" s="238"/>
      <c r="E48" s="134">
        <v>30.75</v>
      </c>
      <c r="F48" s="134">
        <v>26.6</v>
      </c>
      <c r="H48" s="140">
        <f t="shared" si="1"/>
        <v>0.86504065040650413</v>
      </c>
    </row>
    <row r="49" spans="1:8" ht="16" thickBot="1">
      <c r="A49" s="239" t="s">
        <v>60</v>
      </c>
      <c r="B49" s="240"/>
      <c r="C49" s="240"/>
      <c r="D49" s="241"/>
      <c r="E49" s="135">
        <v>85.350000000000009</v>
      </c>
      <c r="F49" s="135">
        <v>73.850000000000009</v>
      </c>
      <c r="H49" s="140">
        <f t="shared" si="1"/>
        <v>0.86526069127123606</v>
      </c>
    </row>
    <row r="50" spans="1:8">
      <c r="H50" s="43"/>
    </row>
    <row r="51" spans="1:8">
      <c r="H51" s="43"/>
    </row>
    <row r="52" spans="1:8">
      <c r="H52" s="43"/>
    </row>
    <row r="53" spans="1:8">
      <c r="H53" s="43"/>
    </row>
    <row r="54" spans="1:8">
      <c r="H54" s="43"/>
    </row>
    <row r="55" spans="1:8">
      <c r="H55" s="43"/>
    </row>
    <row r="56" spans="1:8">
      <c r="H56" s="43"/>
    </row>
    <row r="57" spans="1:8">
      <c r="H57" s="43"/>
    </row>
    <row r="58" spans="1:8">
      <c r="H58" s="43"/>
    </row>
    <row r="59" spans="1:8">
      <c r="H59" s="43"/>
    </row>
    <row r="60" spans="1:8">
      <c r="H60" s="43"/>
    </row>
    <row r="61" spans="1:8">
      <c r="H61" s="43"/>
    </row>
  </sheetData>
  <mergeCells count="63">
    <mergeCell ref="A18:F18"/>
    <mergeCell ref="A1:G1"/>
    <mergeCell ref="A2:G2"/>
    <mergeCell ref="A3:G3"/>
    <mergeCell ref="A6:A11"/>
    <mergeCell ref="A17:D17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40:B40"/>
    <mergeCell ref="C40:D40"/>
    <mergeCell ref="A41:B41"/>
    <mergeCell ref="C41:D41"/>
    <mergeCell ref="A42:B42"/>
    <mergeCell ref="A31:B31"/>
    <mergeCell ref="C31:D31"/>
    <mergeCell ref="A34:F34"/>
    <mergeCell ref="A35:B35"/>
    <mergeCell ref="C35:D35"/>
    <mergeCell ref="A32:D32"/>
    <mergeCell ref="A33:D33"/>
    <mergeCell ref="A49:D49"/>
    <mergeCell ref="A46:B46"/>
    <mergeCell ref="C46:D46"/>
    <mergeCell ref="A47:B47"/>
    <mergeCell ref="C47:D47"/>
    <mergeCell ref="C45:D45"/>
    <mergeCell ref="C42:D42"/>
    <mergeCell ref="A36:B36"/>
    <mergeCell ref="C36:D36"/>
    <mergeCell ref="A48:D48"/>
    <mergeCell ref="A37:B37"/>
    <mergeCell ref="C37:D37"/>
    <mergeCell ref="A38:B38"/>
    <mergeCell ref="C38:D38"/>
    <mergeCell ref="A39:B39"/>
    <mergeCell ref="C39:D39"/>
    <mergeCell ref="A45:B45"/>
    <mergeCell ref="A43:B43"/>
    <mergeCell ref="C43:D43"/>
    <mergeCell ref="A44:B44"/>
    <mergeCell ref="C44:D44"/>
  </mergeCells>
  <printOptions horizontalCentered="1"/>
  <pageMargins left="0.31496062992126" right="0.31496062992126" top="0.55118110236220497" bottom="0.35433070866141703" header="0.31496062992126" footer="0.31496062992126"/>
  <pageSetup scale="86" orientation="portrait" r:id="rId1"/>
  <headerFooter alignWithMargins="0">
    <oddFooter>&amp;L&amp;P
&amp;RSEXTON WEST
April 4, 2025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2EFA-854D-4381-ABFC-1177DA119422}">
  <sheetPr transitionEvaluation="1">
    <tabColor theme="9" tint="0.59999389629810485"/>
    <pageSetUpPr fitToPage="1"/>
  </sheetPr>
  <dimension ref="A1:HB63"/>
  <sheetViews>
    <sheetView defaultGridColor="0" view="pageBreakPreview" colorId="22" zoomScale="90" zoomScaleNormal="110" zoomScaleSheetLayoutView="90" workbookViewId="0">
      <selection activeCell="E31" sqref="E31"/>
    </sheetView>
  </sheetViews>
  <sheetFormatPr defaultColWidth="9" defaultRowHeight="15.5"/>
  <cols>
    <col min="1" max="1" width="8.23046875" style="4" customWidth="1"/>
    <col min="2" max="4" width="11.84375" style="3" customWidth="1"/>
    <col min="5" max="6" width="14.23046875" style="3" customWidth="1"/>
    <col min="7" max="7" width="6.3046875" style="3" customWidth="1"/>
    <col min="8" max="8" width="9" style="34"/>
    <col min="9" max="9" width="10.4609375" style="3" customWidth="1"/>
    <col min="10" max="10" width="9" style="34"/>
    <col min="11" max="11" width="9" style="3"/>
    <col min="12" max="12" width="11.23046875" style="3" bestFit="1" customWidth="1"/>
    <col min="13" max="16384" width="9" style="3"/>
  </cols>
  <sheetData>
    <row r="1" spans="1:210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0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0" ht="30" customHeight="1">
      <c r="A3" s="217" t="str">
        <f>'Moulded Panel'!A3</f>
        <v>SEXTON WEST</v>
      </c>
      <c r="B3" s="217"/>
      <c r="C3" s="217"/>
      <c r="D3" s="217"/>
      <c r="E3" s="217"/>
      <c r="F3" s="217"/>
      <c r="G3" s="217"/>
    </row>
    <row r="4" spans="1:210" ht="11.25" customHeight="1">
      <c r="B4" s="1"/>
      <c r="C4" s="2"/>
      <c r="D4" s="2"/>
      <c r="E4" s="2"/>
      <c r="F4" s="2"/>
      <c r="G4" s="1"/>
    </row>
    <row r="5" spans="1:210" ht="19.5" customHeight="1">
      <c r="A5" s="258" t="s">
        <v>48</v>
      </c>
      <c r="B5" s="1"/>
      <c r="C5" s="2"/>
      <c r="D5" s="2"/>
      <c r="E5" s="2"/>
      <c r="F5" s="2"/>
      <c r="G5" s="1"/>
      <c r="H5" s="9"/>
    </row>
    <row r="6" spans="1:210" ht="15.75" customHeight="1">
      <c r="A6" s="218"/>
      <c r="B6" s="1"/>
      <c r="C6" s="2"/>
      <c r="D6" s="2"/>
      <c r="E6" s="2"/>
      <c r="F6" s="2"/>
      <c r="G6" s="1"/>
      <c r="H6" s="1"/>
    </row>
    <row r="7" spans="1:210" ht="15.75" customHeight="1">
      <c r="A7" s="218"/>
      <c r="B7" s="1"/>
      <c r="C7" s="2"/>
      <c r="D7" s="2"/>
      <c r="E7" s="2"/>
      <c r="F7" s="2"/>
      <c r="G7" s="1"/>
      <c r="H7" s="1"/>
    </row>
    <row r="8" spans="1:210" ht="20.25" customHeight="1">
      <c r="A8" s="218"/>
      <c r="B8" s="1"/>
      <c r="C8" s="2"/>
      <c r="D8" s="2"/>
      <c r="E8" s="2"/>
      <c r="F8" s="2"/>
      <c r="G8" s="1"/>
      <c r="H8" s="1"/>
    </row>
    <row r="9" spans="1:210" ht="20.25" customHeight="1">
      <c r="A9" s="218"/>
      <c r="B9" s="1"/>
      <c r="C9" s="2"/>
      <c r="D9" s="2"/>
      <c r="E9" s="2"/>
      <c r="F9" s="2"/>
      <c r="G9" s="1"/>
      <c r="H9" s="1"/>
    </row>
    <row r="10" spans="1:210" ht="9" customHeight="1">
      <c r="A10" s="218"/>
      <c r="B10" s="1"/>
      <c r="C10" s="2"/>
      <c r="D10" s="2"/>
      <c r="E10" s="2"/>
      <c r="F10" s="2"/>
      <c r="G10" s="1"/>
      <c r="H10" s="1"/>
    </row>
    <row r="11" spans="1:210" ht="15.75" customHeight="1" thickBot="1">
      <c r="A11" s="218"/>
      <c r="B11" s="1"/>
      <c r="C11" s="2"/>
      <c r="D11" s="2"/>
      <c r="E11" s="2"/>
      <c r="F11" s="2"/>
      <c r="G11" s="1"/>
      <c r="H11" s="1"/>
    </row>
    <row r="12" spans="1:210" ht="16.5" thickTop="1" thickBot="1">
      <c r="A12" s="20" t="s">
        <v>9</v>
      </c>
      <c r="B12" s="19" t="s">
        <v>12</v>
      </c>
      <c r="C12" s="24"/>
      <c r="D12" s="14"/>
      <c r="E12" s="9"/>
      <c r="F12" s="10"/>
      <c r="G12" s="11"/>
      <c r="H12" s="7"/>
    </row>
    <row r="13" spans="1:210" ht="16.5" thickTop="1" thickBot="1">
      <c r="A13" s="20" t="s">
        <v>10</v>
      </c>
      <c r="B13" s="19" t="s">
        <v>12</v>
      </c>
      <c r="C13" s="24"/>
      <c r="D13" s="14"/>
      <c r="E13" s="9"/>
      <c r="F13" s="10"/>
      <c r="G13" s="11"/>
      <c r="H13" s="37"/>
    </row>
    <row r="14" spans="1:210" ht="13.5" customHeight="1" thickTop="1" thickBot="1">
      <c r="B14" s="11"/>
      <c r="C14" s="11"/>
      <c r="D14" s="11"/>
      <c r="E14" s="11"/>
      <c r="F14" s="11"/>
      <c r="G14" s="12"/>
      <c r="H14" s="14"/>
    </row>
    <row r="15" spans="1:210" ht="36" customHeight="1" thickTop="1" thickBot="1">
      <c r="A15" s="225" t="s">
        <v>3</v>
      </c>
      <c r="B15" s="226"/>
      <c r="C15" s="226"/>
      <c r="D15" s="227"/>
      <c r="E15" s="40" t="s">
        <v>105</v>
      </c>
      <c r="F15" s="40" t="s">
        <v>54</v>
      </c>
      <c r="G15" s="52"/>
      <c r="H15" s="14"/>
      <c r="I15" s="13"/>
      <c r="J15" s="3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</row>
    <row r="16" spans="1:210" ht="30" customHeight="1" thickTop="1" thickBot="1">
      <c r="A16" s="229" t="s">
        <v>0</v>
      </c>
      <c r="B16" s="229"/>
      <c r="C16" s="229"/>
      <c r="D16" s="229"/>
      <c r="E16" s="229"/>
      <c r="F16" s="229"/>
      <c r="G16" s="25"/>
      <c r="H16" s="10"/>
      <c r="I16" s="13"/>
      <c r="J16" s="3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</row>
    <row r="17" spans="1:210">
      <c r="A17" s="230" t="s">
        <v>30</v>
      </c>
      <c r="B17" s="231"/>
      <c r="C17" s="232" t="s">
        <v>31</v>
      </c>
      <c r="D17" s="250"/>
      <c r="E17" s="133">
        <v>59.75</v>
      </c>
      <c r="F17" s="133">
        <v>51.7</v>
      </c>
      <c r="G17" s="26"/>
      <c r="H17" s="140">
        <f>F17/E17</f>
        <v>0.86527196652719673</v>
      </c>
      <c r="I17" s="48"/>
      <c r="J17" s="3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</row>
    <row r="18" spans="1:210">
      <c r="A18" s="233" t="s">
        <v>32</v>
      </c>
      <c r="B18" s="234"/>
      <c r="C18" s="235" t="s">
        <v>39</v>
      </c>
      <c r="D18" s="251"/>
      <c r="E18" s="134">
        <v>59.75</v>
      </c>
      <c r="F18" s="134">
        <v>51.7</v>
      </c>
      <c r="G18" s="26"/>
      <c r="H18" s="140">
        <f t="shared" ref="H18:H62" si="0">F18/E18</f>
        <v>0.86527196652719673</v>
      </c>
      <c r="I18" s="48"/>
      <c r="J18" s="3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</row>
    <row r="19" spans="1:210">
      <c r="A19" s="233" t="s">
        <v>33</v>
      </c>
      <c r="B19" s="234"/>
      <c r="C19" s="235" t="s">
        <v>40</v>
      </c>
      <c r="D19" s="251"/>
      <c r="E19" s="134">
        <v>59.75</v>
      </c>
      <c r="F19" s="134">
        <v>51.7</v>
      </c>
      <c r="G19" s="26"/>
      <c r="H19" s="140">
        <f t="shared" si="0"/>
        <v>0.86527196652719673</v>
      </c>
      <c r="I19" s="48"/>
      <c r="J19" s="3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</row>
    <row r="20" spans="1:210">
      <c r="A20" s="233" t="s">
        <v>28</v>
      </c>
      <c r="B20" s="234"/>
      <c r="C20" s="235" t="s">
        <v>29</v>
      </c>
      <c r="D20" s="251"/>
      <c r="E20" s="134">
        <v>59.75</v>
      </c>
      <c r="F20" s="134">
        <v>51.7</v>
      </c>
      <c r="G20" s="26"/>
      <c r="H20" s="140">
        <f t="shared" si="0"/>
        <v>0.86527196652719673</v>
      </c>
      <c r="I20" s="48"/>
      <c r="J20" s="3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</row>
    <row r="21" spans="1:210">
      <c r="A21" s="233" t="s">
        <v>34</v>
      </c>
      <c r="B21" s="234"/>
      <c r="C21" s="235" t="s">
        <v>41</v>
      </c>
      <c r="D21" s="251"/>
      <c r="E21" s="134">
        <v>61</v>
      </c>
      <c r="F21" s="134">
        <v>52.75</v>
      </c>
      <c r="G21" s="26"/>
      <c r="H21" s="140">
        <f t="shared" si="0"/>
        <v>0.86475409836065575</v>
      </c>
      <c r="I21" s="48"/>
      <c r="J21" s="3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</row>
    <row r="22" spans="1:210">
      <c r="A22" s="233" t="s">
        <v>35</v>
      </c>
      <c r="B22" s="234"/>
      <c r="C22" s="235" t="s">
        <v>42</v>
      </c>
      <c r="D22" s="251"/>
      <c r="E22" s="134">
        <v>61</v>
      </c>
      <c r="F22" s="134">
        <v>52.75</v>
      </c>
      <c r="G22" s="26"/>
      <c r="H22" s="140">
        <f t="shared" si="0"/>
        <v>0.86475409836065575</v>
      </c>
      <c r="I22" s="48"/>
      <c r="J22" s="3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</row>
    <row r="23" spans="1:210">
      <c r="A23" s="233" t="s">
        <v>20</v>
      </c>
      <c r="B23" s="234"/>
      <c r="C23" s="235" t="s">
        <v>43</v>
      </c>
      <c r="D23" s="251"/>
      <c r="E23" s="134">
        <v>61</v>
      </c>
      <c r="F23" s="134">
        <v>52.75</v>
      </c>
      <c r="G23" s="26"/>
      <c r="H23" s="140">
        <f t="shared" si="0"/>
        <v>0.86475409836065575</v>
      </c>
      <c r="I23" s="48"/>
      <c r="J23" s="3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</row>
    <row r="24" spans="1:210" s="32" customFormat="1">
      <c r="A24" s="233" t="s">
        <v>36</v>
      </c>
      <c r="B24" s="234"/>
      <c r="C24" s="235" t="s">
        <v>44</v>
      </c>
      <c r="D24" s="251"/>
      <c r="E24" s="134">
        <v>65.100000000000009</v>
      </c>
      <c r="F24" s="134">
        <v>56.300000000000004</v>
      </c>
      <c r="G24" s="26"/>
      <c r="H24" s="140">
        <f t="shared" si="0"/>
        <v>0.86482334869431643</v>
      </c>
      <c r="I24" s="48"/>
      <c r="J24" s="35"/>
      <c r="K24" s="13"/>
      <c r="L24" s="13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</row>
    <row r="25" spans="1:210" s="32" customFormat="1">
      <c r="A25" s="233" t="s">
        <v>37</v>
      </c>
      <c r="B25" s="234"/>
      <c r="C25" s="235" t="s">
        <v>45</v>
      </c>
      <c r="D25" s="251"/>
      <c r="E25" s="134">
        <v>65.100000000000009</v>
      </c>
      <c r="F25" s="134">
        <v>56.300000000000004</v>
      </c>
      <c r="G25" s="26"/>
      <c r="H25" s="140">
        <f t="shared" si="0"/>
        <v>0.86482334869431643</v>
      </c>
      <c r="I25" s="48"/>
      <c r="J25" s="35"/>
      <c r="K25" s="13"/>
      <c r="L25" s="13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</row>
    <row r="26" spans="1:210" ht="15.75" customHeight="1">
      <c r="A26" s="233" t="s">
        <v>21</v>
      </c>
      <c r="B26" s="234"/>
      <c r="C26" s="235" t="s">
        <v>46</v>
      </c>
      <c r="D26" s="251"/>
      <c r="E26" s="134">
        <v>65.100000000000009</v>
      </c>
      <c r="F26" s="134">
        <v>56.300000000000004</v>
      </c>
      <c r="G26" s="26"/>
      <c r="H26" s="140">
        <f t="shared" si="0"/>
        <v>0.86482334869431643</v>
      </c>
      <c r="I26" s="48"/>
      <c r="J26" s="3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</row>
    <row r="27" spans="1:210">
      <c r="A27" s="233" t="s">
        <v>22</v>
      </c>
      <c r="B27" s="234"/>
      <c r="C27" s="235" t="s">
        <v>27</v>
      </c>
      <c r="D27" s="251"/>
      <c r="E27" s="134">
        <v>67.25</v>
      </c>
      <c r="F27" s="134">
        <v>58.150000000000006</v>
      </c>
      <c r="G27" s="26"/>
      <c r="H27" s="140">
        <f t="shared" si="0"/>
        <v>0.86468401486988855</v>
      </c>
      <c r="I27" s="48"/>
      <c r="J27" s="3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</row>
    <row r="28" spans="1:210">
      <c r="A28" s="233" t="s">
        <v>38</v>
      </c>
      <c r="B28" s="234"/>
      <c r="C28" s="235" t="s">
        <v>47</v>
      </c>
      <c r="D28" s="251"/>
      <c r="E28" s="134">
        <v>72.8</v>
      </c>
      <c r="F28" s="134">
        <v>62.95</v>
      </c>
      <c r="G28" s="26"/>
      <c r="H28" s="140">
        <f t="shared" si="0"/>
        <v>0.86469780219780223</v>
      </c>
      <c r="I28" s="48"/>
      <c r="K28" s="13"/>
      <c r="L28" s="13"/>
    </row>
    <row r="29" spans="1:210">
      <c r="A29" s="221" t="s">
        <v>24</v>
      </c>
      <c r="B29" s="222"/>
      <c r="C29" s="223" t="s">
        <v>25</v>
      </c>
      <c r="D29" s="224"/>
      <c r="E29" s="134">
        <v>72.8</v>
      </c>
      <c r="F29" s="134">
        <v>62.95</v>
      </c>
      <c r="G29" s="26"/>
      <c r="H29" s="140">
        <f t="shared" si="0"/>
        <v>0.86469780219780223</v>
      </c>
      <c r="I29" s="48"/>
      <c r="K29" s="13"/>
      <c r="L29" s="13"/>
    </row>
    <row r="30" spans="1:210" ht="16.149999999999999" customHeight="1">
      <c r="A30" s="233" t="s">
        <v>55</v>
      </c>
      <c r="B30" s="234"/>
      <c r="C30" s="235" t="s">
        <v>56</v>
      </c>
      <c r="D30" s="251"/>
      <c r="E30" s="134">
        <v>105.30000000000001</v>
      </c>
      <c r="F30" s="134">
        <v>91.100000000000009</v>
      </c>
      <c r="G30" s="26"/>
      <c r="H30" s="140">
        <f>F30/E30</f>
        <v>0.86514719848053179</v>
      </c>
      <c r="I30" s="48"/>
      <c r="K30" s="13"/>
      <c r="L30" s="13"/>
    </row>
    <row r="31" spans="1:210" ht="16.149999999999999" customHeight="1">
      <c r="A31" s="236" t="s">
        <v>59</v>
      </c>
      <c r="B31" s="237"/>
      <c r="C31" s="237"/>
      <c r="D31" s="238"/>
      <c r="E31" s="134">
        <v>30.75</v>
      </c>
      <c r="F31" s="134">
        <v>26.6</v>
      </c>
      <c r="G31" s="26"/>
      <c r="H31" s="140">
        <f t="shared" ref="H31:H32" si="1">F31/E31</f>
        <v>0.86504065040650413</v>
      </c>
      <c r="I31" s="48">
        <v>30.75</v>
      </c>
      <c r="J31" s="62">
        <f>I31*0.865</f>
        <v>26.598749999999999</v>
      </c>
      <c r="K31" s="13"/>
      <c r="L31" s="13"/>
    </row>
    <row r="32" spans="1:210" ht="16.149999999999999" customHeight="1" thickBot="1">
      <c r="A32" s="239" t="s">
        <v>60</v>
      </c>
      <c r="B32" s="240"/>
      <c r="C32" s="240"/>
      <c r="D32" s="241"/>
      <c r="E32" s="135">
        <v>73.150000000000006</v>
      </c>
      <c r="F32" s="135">
        <v>63.25</v>
      </c>
      <c r="G32" s="26"/>
      <c r="H32" s="140">
        <f t="shared" si="1"/>
        <v>0.86466165413533824</v>
      </c>
      <c r="I32" s="48">
        <v>73.150000000000006</v>
      </c>
      <c r="J32" s="62">
        <f>I32*0.865</f>
        <v>63.274750000000004</v>
      </c>
      <c r="K32" s="13"/>
      <c r="L32" s="13"/>
    </row>
    <row r="33" spans="1:210" ht="30" customHeight="1" thickBot="1">
      <c r="A33" s="252" t="s">
        <v>58</v>
      </c>
      <c r="B33" s="252"/>
      <c r="C33" s="252"/>
      <c r="D33" s="252"/>
      <c r="E33" s="252"/>
      <c r="F33" s="252"/>
      <c r="G33" s="25"/>
      <c r="H33" s="43"/>
      <c r="I33" s="48"/>
    </row>
    <row r="34" spans="1:210" ht="16.149999999999999" customHeight="1">
      <c r="A34" s="242" t="s">
        <v>28</v>
      </c>
      <c r="B34" s="243"/>
      <c r="C34" s="244" t="s">
        <v>29</v>
      </c>
      <c r="D34" s="244"/>
      <c r="E34" s="133">
        <v>83.4</v>
      </c>
      <c r="F34" s="136">
        <v>72.150000000000006</v>
      </c>
      <c r="G34" s="26"/>
      <c r="H34" s="140">
        <f t="shared" si="0"/>
        <v>0.86510791366906481</v>
      </c>
      <c r="I34" s="48"/>
    </row>
    <row r="35" spans="1:210" s="34" customFormat="1" ht="16.149999999999999" customHeight="1">
      <c r="A35" s="221" t="s">
        <v>34</v>
      </c>
      <c r="B35" s="222"/>
      <c r="C35" s="223" t="s">
        <v>41</v>
      </c>
      <c r="D35" s="224"/>
      <c r="E35" s="134">
        <v>83.4</v>
      </c>
      <c r="F35" s="137">
        <v>72.150000000000006</v>
      </c>
      <c r="G35" s="26"/>
      <c r="H35" s="140">
        <f t="shared" si="0"/>
        <v>0.86510791366906481</v>
      </c>
      <c r="I35" s="4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</row>
    <row r="36" spans="1:210" s="34" customFormat="1" ht="16.149999999999999" customHeight="1">
      <c r="A36" s="221" t="s">
        <v>35</v>
      </c>
      <c r="B36" s="222"/>
      <c r="C36" s="223" t="s">
        <v>42</v>
      </c>
      <c r="D36" s="224"/>
      <c r="E36" s="134">
        <v>83.4</v>
      </c>
      <c r="F36" s="137">
        <v>72.150000000000006</v>
      </c>
      <c r="G36" s="26"/>
      <c r="H36" s="140">
        <f t="shared" si="0"/>
        <v>0.86510791366906481</v>
      </c>
      <c r="I36" s="4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</row>
    <row r="37" spans="1:210" s="34" customFormat="1" ht="16.149999999999999" customHeight="1">
      <c r="A37" s="221" t="s">
        <v>20</v>
      </c>
      <c r="B37" s="222"/>
      <c r="C37" s="223" t="s">
        <v>43</v>
      </c>
      <c r="D37" s="224"/>
      <c r="E37" s="134">
        <v>83.4</v>
      </c>
      <c r="F37" s="137">
        <v>72.150000000000006</v>
      </c>
      <c r="G37" s="26"/>
      <c r="H37" s="140">
        <f t="shared" si="0"/>
        <v>0.86510791366906481</v>
      </c>
      <c r="I37" s="4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</row>
    <row r="38" spans="1:210" s="34" customFormat="1" ht="16.149999999999999" customHeight="1">
      <c r="A38" s="221" t="s">
        <v>36</v>
      </c>
      <c r="B38" s="222"/>
      <c r="C38" s="223" t="s">
        <v>44</v>
      </c>
      <c r="D38" s="224"/>
      <c r="E38" s="134">
        <v>90.600000000000009</v>
      </c>
      <c r="F38" s="137">
        <v>78.350000000000009</v>
      </c>
      <c r="G38" s="26"/>
      <c r="H38" s="140">
        <f t="shared" si="0"/>
        <v>0.86479028697571747</v>
      </c>
      <c r="I38" s="4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</row>
    <row r="39" spans="1:210" s="34" customFormat="1" ht="16.149999999999999" customHeight="1">
      <c r="A39" s="221" t="s">
        <v>37</v>
      </c>
      <c r="B39" s="222"/>
      <c r="C39" s="223" t="s">
        <v>45</v>
      </c>
      <c r="D39" s="224"/>
      <c r="E39" s="134">
        <v>90.600000000000009</v>
      </c>
      <c r="F39" s="137">
        <v>78.350000000000009</v>
      </c>
      <c r="G39" s="26"/>
      <c r="H39" s="140">
        <f t="shared" si="0"/>
        <v>0.86479028697571747</v>
      </c>
      <c r="I39" s="4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</row>
    <row r="40" spans="1:210" s="34" customFormat="1" ht="16.149999999999999" customHeight="1">
      <c r="A40" s="221" t="s">
        <v>21</v>
      </c>
      <c r="B40" s="222"/>
      <c r="C40" s="223" t="s">
        <v>46</v>
      </c>
      <c r="D40" s="224"/>
      <c r="E40" s="134">
        <v>90.600000000000009</v>
      </c>
      <c r="F40" s="137">
        <v>78.350000000000009</v>
      </c>
      <c r="G40" s="26"/>
      <c r="H40" s="140">
        <f t="shared" si="0"/>
        <v>0.86479028697571747</v>
      </c>
      <c r="I40" s="4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</row>
    <row r="41" spans="1:210" s="34" customFormat="1" ht="16.149999999999999" customHeight="1">
      <c r="A41" s="221" t="s">
        <v>22</v>
      </c>
      <c r="B41" s="222"/>
      <c r="C41" s="223" t="s">
        <v>27</v>
      </c>
      <c r="D41" s="224"/>
      <c r="E41" s="134">
        <v>96.95</v>
      </c>
      <c r="F41" s="137">
        <v>83.850000000000009</v>
      </c>
      <c r="G41" s="26"/>
      <c r="H41" s="140">
        <f t="shared" si="0"/>
        <v>0.86487880350696245</v>
      </c>
      <c r="I41" s="4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</row>
    <row r="42" spans="1:210" s="34" customFormat="1" ht="16.149999999999999" customHeight="1">
      <c r="A42" s="221" t="s">
        <v>38</v>
      </c>
      <c r="B42" s="222"/>
      <c r="C42" s="223" t="s">
        <v>47</v>
      </c>
      <c r="D42" s="224"/>
      <c r="E42" s="134">
        <v>96.95</v>
      </c>
      <c r="F42" s="137">
        <v>83.850000000000009</v>
      </c>
      <c r="G42" s="26"/>
      <c r="H42" s="140">
        <f t="shared" si="0"/>
        <v>0.86487880350696245</v>
      </c>
      <c r="I42" s="4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</row>
    <row r="43" spans="1:210" s="34" customFormat="1" ht="15.75" customHeight="1">
      <c r="A43" s="233" t="s">
        <v>24</v>
      </c>
      <c r="B43" s="234"/>
      <c r="C43" s="223" t="s">
        <v>25</v>
      </c>
      <c r="D43" s="223"/>
      <c r="E43" s="134">
        <v>96.95</v>
      </c>
      <c r="F43" s="134">
        <v>83.850000000000009</v>
      </c>
      <c r="G43" s="26"/>
      <c r="H43" s="140">
        <f t="shared" si="0"/>
        <v>0.86487880350696245</v>
      </c>
      <c r="I43" s="4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</row>
    <row r="44" spans="1:210" s="34" customFormat="1" ht="15.75" customHeight="1">
      <c r="A44" s="236" t="s">
        <v>59</v>
      </c>
      <c r="B44" s="237"/>
      <c r="C44" s="237"/>
      <c r="D44" s="238"/>
      <c r="E44" s="134">
        <v>30.75</v>
      </c>
      <c r="F44" s="134">
        <v>26.6</v>
      </c>
      <c r="G44" s="26"/>
      <c r="H44" s="140">
        <f t="shared" si="0"/>
        <v>0.86504065040650413</v>
      </c>
      <c r="I44" s="4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</row>
    <row r="45" spans="1:210" s="34" customFormat="1" ht="15.75" customHeight="1" thickBot="1">
      <c r="A45" s="239" t="s">
        <v>60</v>
      </c>
      <c r="B45" s="240"/>
      <c r="C45" s="240"/>
      <c r="D45" s="241"/>
      <c r="E45" s="135">
        <v>73.150000000000006</v>
      </c>
      <c r="F45" s="135">
        <v>63.25</v>
      </c>
      <c r="G45" s="26"/>
      <c r="H45" s="140">
        <f t="shared" si="0"/>
        <v>0.86466165413533824</v>
      </c>
      <c r="I45" s="4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</row>
    <row r="46" spans="1:210" s="34" customFormat="1" ht="30.75" customHeight="1" thickBot="1">
      <c r="A46" s="228" t="s">
        <v>23</v>
      </c>
      <c r="B46" s="228"/>
      <c r="C46" s="228"/>
      <c r="D46" s="228"/>
      <c r="E46" s="228"/>
      <c r="F46" s="228"/>
      <c r="G46" s="25"/>
      <c r="H46" s="43"/>
      <c r="I46" s="4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</row>
    <row r="47" spans="1:210" s="34" customFormat="1" ht="15" customHeight="1">
      <c r="A47" s="230" t="s">
        <v>30</v>
      </c>
      <c r="B47" s="231"/>
      <c r="C47" s="232" t="s">
        <v>31</v>
      </c>
      <c r="D47" s="250"/>
      <c r="E47" s="133">
        <v>124.95</v>
      </c>
      <c r="F47" s="133">
        <v>108.10000000000001</v>
      </c>
      <c r="G47" s="26"/>
      <c r="H47" s="140">
        <f t="shared" si="0"/>
        <v>0.86514605842336945</v>
      </c>
      <c r="I47" s="61"/>
      <c r="J47" s="6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</row>
    <row r="48" spans="1:210" s="34" customFormat="1" ht="15" customHeight="1">
      <c r="A48" s="233" t="s">
        <v>32</v>
      </c>
      <c r="B48" s="234"/>
      <c r="C48" s="235" t="s">
        <v>39</v>
      </c>
      <c r="D48" s="251"/>
      <c r="E48" s="134">
        <v>124.95</v>
      </c>
      <c r="F48" s="134">
        <v>108.10000000000001</v>
      </c>
      <c r="G48" s="26"/>
      <c r="H48" s="140">
        <f t="shared" si="0"/>
        <v>0.86514605842336945</v>
      </c>
      <c r="I48" s="61"/>
      <c r="J48" s="6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</row>
    <row r="49" spans="1:210" s="34" customFormat="1" ht="15" customHeight="1">
      <c r="A49" s="233" t="s">
        <v>33</v>
      </c>
      <c r="B49" s="234"/>
      <c r="C49" s="235" t="s">
        <v>40</v>
      </c>
      <c r="D49" s="251"/>
      <c r="E49" s="134">
        <v>124.95</v>
      </c>
      <c r="F49" s="134">
        <v>108.10000000000001</v>
      </c>
      <c r="G49" s="26"/>
      <c r="H49" s="140">
        <f t="shared" si="0"/>
        <v>0.86514605842336945</v>
      </c>
      <c r="I49" s="61"/>
      <c r="J49" s="6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</row>
    <row r="50" spans="1:210" s="34" customFormat="1" ht="15" customHeight="1">
      <c r="A50" s="233" t="s">
        <v>28</v>
      </c>
      <c r="B50" s="234"/>
      <c r="C50" s="235" t="s">
        <v>29</v>
      </c>
      <c r="D50" s="251"/>
      <c r="E50" s="134">
        <v>124.95</v>
      </c>
      <c r="F50" s="134">
        <v>108.10000000000001</v>
      </c>
      <c r="G50" s="26"/>
      <c r="H50" s="140">
        <f t="shared" si="0"/>
        <v>0.86514605842336945</v>
      </c>
      <c r="I50" s="61"/>
      <c r="J50" s="6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</row>
    <row r="51" spans="1:210" s="34" customFormat="1" ht="15" customHeight="1">
      <c r="A51" s="233" t="s">
        <v>34</v>
      </c>
      <c r="B51" s="234"/>
      <c r="C51" s="235" t="s">
        <v>41</v>
      </c>
      <c r="D51" s="251"/>
      <c r="E51" s="134">
        <v>126.2</v>
      </c>
      <c r="F51" s="134">
        <v>109.15</v>
      </c>
      <c r="G51" s="26"/>
      <c r="H51" s="140">
        <f t="shared" si="0"/>
        <v>0.86489698890649769</v>
      </c>
      <c r="I51" s="61"/>
      <c r="J51" s="6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</row>
    <row r="52" spans="1:210" s="34" customFormat="1" ht="15" customHeight="1">
      <c r="A52" s="233" t="s">
        <v>35</v>
      </c>
      <c r="B52" s="234"/>
      <c r="C52" s="235" t="s">
        <v>42</v>
      </c>
      <c r="D52" s="251"/>
      <c r="E52" s="134">
        <v>126.2</v>
      </c>
      <c r="F52" s="134">
        <v>109.15</v>
      </c>
      <c r="G52" s="26"/>
      <c r="H52" s="140">
        <f t="shared" si="0"/>
        <v>0.86489698890649769</v>
      </c>
      <c r="I52" s="61"/>
      <c r="J52" s="6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</row>
    <row r="53" spans="1:210" s="34" customFormat="1" ht="15" customHeight="1">
      <c r="A53" s="233" t="s">
        <v>20</v>
      </c>
      <c r="B53" s="234"/>
      <c r="C53" s="235" t="s">
        <v>43</v>
      </c>
      <c r="D53" s="251"/>
      <c r="E53" s="134">
        <v>126.2</v>
      </c>
      <c r="F53" s="134">
        <v>109.15</v>
      </c>
      <c r="G53" s="26"/>
      <c r="H53" s="140">
        <f t="shared" si="0"/>
        <v>0.86489698890649769</v>
      </c>
      <c r="I53" s="61"/>
      <c r="J53" s="6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</row>
    <row r="54" spans="1:210" s="34" customFormat="1" ht="15" customHeight="1">
      <c r="A54" s="233" t="s">
        <v>36</v>
      </c>
      <c r="B54" s="234"/>
      <c r="C54" s="235" t="s">
        <v>44</v>
      </c>
      <c r="D54" s="251"/>
      <c r="E54" s="134">
        <v>130.30000000000001</v>
      </c>
      <c r="F54" s="134">
        <v>112.7</v>
      </c>
      <c r="G54" s="26"/>
      <c r="H54" s="140">
        <f t="shared" si="0"/>
        <v>0.86492709132770529</v>
      </c>
      <c r="I54" s="61"/>
      <c r="J54" s="6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</row>
    <row r="55" spans="1:210" s="34" customFormat="1" ht="15" customHeight="1">
      <c r="A55" s="233" t="s">
        <v>37</v>
      </c>
      <c r="B55" s="234"/>
      <c r="C55" s="235" t="s">
        <v>45</v>
      </c>
      <c r="D55" s="251"/>
      <c r="E55" s="134">
        <v>130.30000000000001</v>
      </c>
      <c r="F55" s="134">
        <v>112.7</v>
      </c>
      <c r="G55" s="26"/>
      <c r="H55" s="140">
        <f t="shared" si="0"/>
        <v>0.86492709132770529</v>
      </c>
      <c r="I55" s="61"/>
      <c r="J55" s="6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</row>
    <row r="56" spans="1:210" s="34" customFormat="1">
      <c r="A56" s="233" t="s">
        <v>21</v>
      </c>
      <c r="B56" s="234"/>
      <c r="C56" s="235" t="s">
        <v>46</v>
      </c>
      <c r="D56" s="251"/>
      <c r="E56" s="134">
        <v>130.30000000000001</v>
      </c>
      <c r="F56" s="134">
        <v>112.7</v>
      </c>
      <c r="G56" s="26"/>
      <c r="H56" s="140">
        <f t="shared" si="0"/>
        <v>0.86492709132770529</v>
      </c>
      <c r="I56" s="61"/>
      <c r="J56" s="6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</row>
    <row r="57" spans="1:210" s="34" customFormat="1">
      <c r="A57" s="233" t="s">
        <v>22</v>
      </c>
      <c r="B57" s="234"/>
      <c r="C57" s="235" t="s">
        <v>27</v>
      </c>
      <c r="D57" s="251"/>
      <c r="E57" s="134">
        <v>132.44999999999999</v>
      </c>
      <c r="F57" s="134">
        <v>114.55000000000001</v>
      </c>
      <c r="G57" s="26"/>
      <c r="H57" s="140">
        <f t="shared" si="0"/>
        <v>0.86485466213665552</v>
      </c>
      <c r="I57" s="61"/>
      <c r="J57" s="6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</row>
    <row r="58" spans="1:210" s="34" customFormat="1">
      <c r="A58" s="233" t="s">
        <v>38</v>
      </c>
      <c r="B58" s="234"/>
      <c r="C58" s="235" t="s">
        <v>47</v>
      </c>
      <c r="D58" s="251"/>
      <c r="E58" s="134">
        <v>138</v>
      </c>
      <c r="F58" s="134">
        <v>119.35000000000001</v>
      </c>
      <c r="G58" s="26"/>
      <c r="H58" s="140">
        <f t="shared" si="0"/>
        <v>0.86485507246376814</v>
      </c>
      <c r="I58" s="61"/>
      <c r="J58" s="6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</row>
    <row r="59" spans="1:210" s="34" customFormat="1">
      <c r="A59" s="221" t="s">
        <v>24</v>
      </c>
      <c r="B59" s="222"/>
      <c r="C59" s="223" t="s">
        <v>25</v>
      </c>
      <c r="D59" s="224"/>
      <c r="E59" s="134">
        <v>138</v>
      </c>
      <c r="F59" s="134">
        <v>119.35000000000001</v>
      </c>
      <c r="G59" s="26"/>
      <c r="H59" s="140">
        <f t="shared" si="0"/>
        <v>0.86485507246376814</v>
      </c>
      <c r="I59" s="61"/>
      <c r="J59" s="6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</row>
    <row r="60" spans="1:210" s="34" customFormat="1" ht="16.149999999999999" customHeight="1">
      <c r="A60" s="233" t="s">
        <v>55</v>
      </c>
      <c r="B60" s="234"/>
      <c r="C60" s="235" t="s">
        <v>56</v>
      </c>
      <c r="D60" s="251"/>
      <c r="E60" s="134">
        <v>170.5</v>
      </c>
      <c r="F60" s="134">
        <v>147.5</v>
      </c>
      <c r="G60" s="26"/>
      <c r="H60" s="140">
        <f t="shared" si="0"/>
        <v>0.86510263929618769</v>
      </c>
      <c r="I60" s="61"/>
      <c r="J60" s="6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</row>
    <row r="61" spans="1:210" s="34" customFormat="1" ht="16.149999999999999" customHeight="1">
      <c r="A61" s="236" t="s">
        <v>59</v>
      </c>
      <c r="B61" s="237"/>
      <c r="C61" s="237"/>
      <c r="D61" s="238"/>
      <c r="E61" s="134">
        <v>19.05</v>
      </c>
      <c r="F61" s="134">
        <v>16.45</v>
      </c>
      <c r="G61" s="26"/>
      <c r="H61" s="140">
        <f t="shared" si="0"/>
        <v>0.86351706036745401</v>
      </c>
      <c r="I61" s="61">
        <v>19</v>
      </c>
      <c r="J61" s="143">
        <f>I61*0.865</f>
        <v>16.434999999999999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</row>
    <row r="62" spans="1:210" s="34" customFormat="1" ht="16.149999999999999" customHeight="1" thickBot="1">
      <c r="A62" s="239" t="s">
        <v>60</v>
      </c>
      <c r="B62" s="240"/>
      <c r="C62" s="240"/>
      <c r="D62" s="241"/>
      <c r="E62" s="135">
        <v>66.25</v>
      </c>
      <c r="F62" s="135">
        <v>57.3</v>
      </c>
      <c r="G62" s="26"/>
      <c r="H62" s="140">
        <f t="shared" si="0"/>
        <v>0.8649056603773585</v>
      </c>
      <c r="I62" s="48">
        <v>66.25</v>
      </c>
      <c r="J62" s="62">
        <f>I62*0.865</f>
        <v>57.306249999999999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</row>
    <row r="63" spans="1:210" s="34" customFormat="1" ht="30" customHeight="1">
      <c r="A63" s="248"/>
      <c r="B63" s="248"/>
      <c r="C63" s="248"/>
      <c r="D63" s="248"/>
      <c r="E63" s="248"/>
      <c r="F63" s="248"/>
      <c r="G63" s="248"/>
      <c r="I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</row>
  </sheetData>
  <mergeCells count="91">
    <mergeCell ref="A29:B29"/>
    <mergeCell ref="C29:D29"/>
    <mergeCell ref="A59:B59"/>
    <mergeCell ref="C59:D59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63:G6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60:B60"/>
    <mergeCell ref="C60:D60"/>
    <mergeCell ref="A61:D61"/>
    <mergeCell ref="A62:D62"/>
    <mergeCell ref="A47:B47"/>
    <mergeCell ref="C47:D47"/>
    <mergeCell ref="A39:B39"/>
    <mergeCell ref="C39:D39"/>
    <mergeCell ref="A40:B40"/>
    <mergeCell ref="C40:D40"/>
    <mergeCell ref="A41:B41"/>
    <mergeCell ref="C41:D41"/>
    <mergeCell ref="A46:F46"/>
    <mergeCell ref="A44:D44"/>
    <mergeCell ref="A45:D45"/>
    <mergeCell ref="A35:B35"/>
    <mergeCell ref="C35:D35"/>
    <mergeCell ref="A42:B42"/>
    <mergeCell ref="C42:D42"/>
    <mergeCell ref="A43:B43"/>
    <mergeCell ref="C43:D43"/>
    <mergeCell ref="A36:B36"/>
    <mergeCell ref="C36:D36"/>
    <mergeCell ref="A37:B37"/>
    <mergeCell ref="C37:D37"/>
    <mergeCell ref="A38:B38"/>
    <mergeCell ref="C38:D38"/>
    <mergeCell ref="A30:B30"/>
    <mergeCell ref="C30:D30"/>
    <mergeCell ref="A34:B34"/>
    <mergeCell ref="C34:D34"/>
    <mergeCell ref="A33:F33"/>
    <mergeCell ref="A31:D31"/>
    <mergeCell ref="A32:D3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16:F16"/>
    <mergeCell ref="A5:A11"/>
    <mergeCell ref="A15:D15"/>
    <mergeCell ref="A1:G1"/>
    <mergeCell ref="A2:G2"/>
    <mergeCell ref="A3:G3"/>
  </mergeCells>
  <printOptions horizontalCentered="1"/>
  <pageMargins left="0.31496062992126" right="0.31496062992126" top="0.55118110236220497" bottom="0.35433070866141703" header="0.31496062992126" footer="0.31496062992126"/>
  <pageSetup scale="69" orientation="portrait" r:id="rId1"/>
  <headerFooter alignWithMargins="0">
    <oddFooter>&amp;L&amp;P
&amp;RSEXTON WEST
April 4, 2025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9E35-7EA8-4CE6-A7DF-C1E7F43A7908}">
  <sheetPr transitionEvaluation="1">
    <tabColor theme="9" tint="0.59999389629810485"/>
    <pageSetUpPr fitToPage="1"/>
  </sheetPr>
  <dimension ref="A1:HB61"/>
  <sheetViews>
    <sheetView defaultGridColor="0" view="pageBreakPreview" colorId="22" zoomScale="90" zoomScaleNormal="110" zoomScaleSheetLayoutView="90" workbookViewId="0">
      <selection activeCell="E9" sqref="E9"/>
    </sheetView>
  </sheetViews>
  <sheetFormatPr defaultColWidth="9" defaultRowHeight="15.5"/>
  <cols>
    <col min="1" max="1" width="8.23046875" style="4" customWidth="1"/>
    <col min="2" max="4" width="11.84375" style="3" customWidth="1"/>
    <col min="5" max="6" width="14.23046875" style="3" customWidth="1"/>
    <col min="7" max="7" width="6.53515625" style="3" customWidth="1"/>
    <col min="8" max="8" width="9" style="34"/>
    <col min="9" max="9" width="11.84375" style="3" customWidth="1"/>
    <col min="10" max="10" width="9" style="34"/>
    <col min="11" max="11" width="9" style="3"/>
    <col min="12" max="12" width="11.23046875" style="3" bestFit="1" customWidth="1"/>
    <col min="13" max="16384" width="9" style="3"/>
  </cols>
  <sheetData>
    <row r="1" spans="1:210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0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0" ht="30" customHeight="1">
      <c r="A3" s="217" t="str">
        <f>'Moulded Panel'!A3</f>
        <v>SEXTON WEST</v>
      </c>
      <c r="B3" s="217"/>
      <c r="C3" s="217"/>
      <c r="D3" s="217"/>
      <c r="E3" s="217"/>
      <c r="F3" s="217"/>
      <c r="G3" s="217"/>
    </row>
    <row r="4" spans="1:210" ht="11.25" customHeight="1">
      <c r="B4" s="1"/>
      <c r="C4" s="2"/>
      <c r="D4" s="2"/>
      <c r="E4" s="2"/>
      <c r="F4" s="2"/>
      <c r="G4" s="1"/>
    </row>
    <row r="5" spans="1:210" ht="19.5" customHeight="1">
      <c r="A5" s="258" t="s">
        <v>48</v>
      </c>
      <c r="B5" s="1"/>
      <c r="C5" s="2"/>
      <c r="D5" s="2"/>
      <c r="E5" s="2"/>
      <c r="F5" s="2"/>
      <c r="G5" s="1"/>
      <c r="H5" s="9"/>
    </row>
    <row r="6" spans="1:210" ht="15.75" customHeight="1">
      <c r="A6" s="218"/>
      <c r="B6" s="1"/>
      <c r="C6" s="2"/>
      <c r="D6" s="2"/>
      <c r="E6" s="2"/>
      <c r="F6" s="2"/>
      <c r="G6" s="1"/>
      <c r="H6" s="1"/>
    </row>
    <row r="7" spans="1:210" ht="15.75" customHeight="1">
      <c r="A7" s="218"/>
      <c r="B7" s="1"/>
      <c r="C7" s="2"/>
      <c r="D7" s="2"/>
      <c r="E7" s="2"/>
      <c r="F7" s="2"/>
      <c r="G7" s="1"/>
      <c r="H7" s="1"/>
    </row>
    <row r="8" spans="1:210" ht="20.25" customHeight="1">
      <c r="A8" s="218"/>
      <c r="B8" s="1"/>
      <c r="C8" s="2"/>
      <c r="D8" s="2"/>
      <c r="E8" s="2"/>
      <c r="F8" s="2"/>
      <c r="G8" s="1"/>
      <c r="H8" s="1"/>
    </row>
    <row r="9" spans="1:210" ht="20.25" customHeight="1">
      <c r="A9" s="218"/>
      <c r="B9" s="1"/>
      <c r="C9" s="2"/>
      <c r="D9" s="2"/>
      <c r="E9" s="2"/>
      <c r="F9" s="2"/>
      <c r="G9" s="1"/>
      <c r="H9" s="1"/>
    </row>
    <row r="10" spans="1:210" ht="9" customHeight="1">
      <c r="A10" s="218"/>
      <c r="B10" s="1"/>
      <c r="C10" s="2"/>
      <c r="D10" s="2"/>
      <c r="E10" s="2"/>
      <c r="F10" s="2"/>
      <c r="G10" s="1"/>
      <c r="H10" s="1"/>
    </row>
    <row r="11" spans="1:210" ht="15.75" customHeight="1" thickBot="1">
      <c r="A11" s="218"/>
      <c r="B11" s="1"/>
      <c r="C11" s="2"/>
      <c r="D11" s="2"/>
      <c r="E11" s="2"/>
      <c r="F11" s="2"/>
      <c r="G11" s="1"/>
      <c r="H11" s="1"/>
    </row>
    <row r="12" spans="1:210" ht="16.5" thickTop="1" thickBot="1">
      <c r="A12" s="20" t="s">
        <v>9</v>
      </c>
      <c r="B12" s="19" t="s">
        <v>12</v>
      </c>
      <c r="C12" s="24"/>
      <c r="D12" s="14"/>
      <c r="E12" s="9"/>
      <c r="F12" s="10"/>
      <c r="G12" s="11"/>
      <c r="H12" s="7"/>
    </row>
    <row r="13" spans="1:210" ht="16.5" thickTop="1" thickBot="1">
      <c r="A13" s="20" t="s">
        <v>10</v>
      </c>
      <c r="B13" s="19" t="s">
        <v>12</v>
      </c>
      <c r="C13" s="24"/>
      <c r="D13" s="14"/>
      <c r="E13" s="9"/>
      <c r="F13" s="10"/>
      <c r="G13" s="11"/>
      <c r="H13" s="37"/>
    </row>
    <row r="14" spans="1:210" ht="13.5" customHeight="1" thickTop="1" thickBot="1">
      <c r="B14" s="11"/>
      <c r="C14" s="11"/>
      <c r="D14" s="11"/>
      <c r="E14" s="11"/>
      <c r="F14" s="11"/>
      <c r="G14" s="12"/>
      <c r="H14" s="14"/>
    </row>
    <row r="15" spans="1:210" ht="36" customHeight="1" thickTop="1" thickBot="1">
      <c r="A15" s="225" t="s">
        <v>3</v>
      </c>
      <c r="B15" s="226"/>
      <c r="C15" s="226"/>
      <c r="D15" s="227"/>
      <c r="E15" s="40" t="s">
        <v>105</v>
      </c>
      <c r="F15" s="40" t="s">
        <v>54</v>
      </c>
      <c r="G15" s="52"/>
      <c r="H15" s="14"/>
      <c r="I15" s="13"/>
      <c r="J15" s="3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</row>
    <row r="16" spans="1:210" ht="30" customHeight="1" thickTop="1" thickBot="1">
      <c r="A16" s="229" t="s">
        <v>2</v>
      </c>
      <c r="B16" s="229"/>
      <c r="C16" s="229"/>
      <c r="D16" s="229"/>
      <c r="E16" s="229"/>
      <c r="F16" s="229"/>
      <c r="G16" s="25"/>
      <c r="H16" s="10"/>
      <c r="I16" s="13"/>
      <c r="J16" s="3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</row>
    <row r="17" spans="1:210">
      <c r="A17" s="230" t="s">
        <v>30</v>
      </c>
      <c r="B17" s="231"/>
      <c r="C17" s="232" t="s">
        <v>31</v>
      </c>
      <c r="D17" s="250"/>
      <c r="E17" s="133">
        <v>90.5</v>
      </c>
      <c r="F17" s="133">
        <v>78.300000000000011</v>
      </c>
      <c r="G17" s="26"/>
      <c r="H17" s="140">
        <f>F17/E17</f>
        <v>0.86519337016574593</v>
      </c>
      <c r="I17" s="47"/>
      <c r="J17" s="6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</row>
    <row r="18" spans="1:210">
      <c r="A18" s="233" t="s">
        <v>32</v>
      </c>
      <c r="B18" s="234"/>
      <c r="C18" s="235" t="s">
        <v>39</v>
      </c>
      <c r="D18" s="251"/>
      <c r="E18" s="134">
        <v>90.5</v>
      </c>
      <c r="F18" s="134">
        <v>78.300000000000011</v>
      </c>
      <c r="G18" s="26"/>
      <c r="H18" s="140">
        <f t="shared" ref="H18:H47" si="0">F18/E18</f>
        <v>0.86519337016574593</v>
      </c>
      <c r="I18" s="47"/>
      <c r="J18" s="6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</row>
    <row r="19" spans="1:210">
      <c r="A19" s="233" t="s">
        <v>33</v>
      </c>
      <c r="B19" s="234"/>
      <c r="C19" s="235" t="s">
        <v>40</v>
      </c>
      <c r="D19" s="251"/>
      <c r="E19" s="134">
        <v>90.5</v>
      </c>
      <c r="F19" s="134">
        <v>78.300000000000011</v>
      </c>
      <c r="G19" s="26"/>
      <c r="H19" s="140">
        <f t="shared" si="0"/>
        <v>0.86519337016574593</v>
      </c>
      <c r="I19" s="47"/>
      <c r="J19" s="6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</row>
    <row r="20" spans="1:210">
      <c r="A20" s="233" t="s">
        <v>28</v>
      </c>
      <c r="B20" s="234"/>
      <c r="C20" s="235" t="s">
        <v>29</v>
      </c>
      <c r="D20" s="251"/>
      <c r="E20" s="134">
        <v>90.5</v>
      </c>
      <c r="F20" s="134">
        <v>78.300000000000011</v>
      </c>
      <c r="G20" s="26"/>
      <c r="H20" s="140">
        <f t="shared" si="0"/>
        <v>0.86519337016574593</v>
      </c>
      <c r="I20" s="47"/>
      <c r="J20" s="6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</row>
    <row r="21" spans="1:210">
      <c r="A21" s="233" t="s">
        <v>34</v>
      </c>
      <c r="B21" s="234"/>
      <c r="C21" s="235" t="s">
        <v>41</v>
      </c>
      <c r="D21" s="251"/>
      <c r="E21" s="134">
        <v>91.75</v>
      </c>
      <c r="F21" s="134">
        <v>79.350000000000009</v>
      </c>
      <c r="G21" s="26"/>
      <c r="H21" s="140">
        <f t="shared" si="0"/>
        <v>0.86485013623978213</v>
      </c>
      <c r="I21" s="47"/>
      <c r="J21" s="6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</row>
    <row r="22" spans="1:210">
      <c r="A22" s="233" t="s">
        <v>35</v>
      </c>
      <c r="B22" s="234"/>
      <c r="C22" s="235" t="s">
        <v>42</v>
      </c>
      <c r="D22" s="251"/>
      <c r="E22" s="134">
        <v>91.75</v>
      </c>
      <c r="F22" s="134">
        <v>79.350000000000009</v>
      </c>
      <c r="G22" s="26"/>
      <c r="H22" s="140">
        <f t="shared" si="0"/>
        <v>0.86485013623978213</v>
      </c>
      <c r="I22" s="47"/>
      <c r="J22" s="6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</row>
    <row r="23" spans="1:210">
      <c r="A23" s="233" t="s">
        <v>20</v>
      </c>
      <c r="B23" s="234"/>
      <c r="C23" s="235" t="s">
        <v>43</v>
      </c>
      <c r="D23" s="251"/>
      <c r="E23" s="134">
        <v>91.75</v>
      </c>
      <c r="F23" s="134">
        <v>79.350000000000009</v>
      </c>
      <c r="G23" s="26"/>
      <c r="H23" s="140">
        <f t="shared" si="0"/>
        <v>0.86485013623978213</v>
      </c>
      <c r="I23" s="47"/>
      <c r="J23" s="6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</row>
    <row r="24" spans="1:210" s="32" customFormat="1">
      <c r="A24" s="233" t="s">
        <v>36</v>
      </c>
      <c r="B24" s="234"/>
      <c r="C24" s="235" t="s">
        <v>44</v>
      </c>
      <c r="D24" s="251"/>
      <c r="E24" s="134">
        <v>95.850000000000009</v>
      </c>
      <c r="F24" s="134">
        <v>82.9</v>
      </c>
      <c r="G24" s="26"/>
      <c r="H24" s="140">
        <f t="shared" si="0"/>
        <v>0.86489306207616068</v>
      </c>
      <c r="I24" s="47"/>
      <c r="J24" s="63"/>
      <c r="K24" s="13"/>
      <c r="L24" s="13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</row>
    <row r="25" spans="1:210" s="32" customFormat="1">
      <c r="A25" s="233" t="s">
        <v>37</v>
      </c>
      <c r="B25" s="234"/>
      <c r="C25" s="235" t="s">
        <v>45</v>
      </c>
      <c r="D25" s="251"/>
      <c r="E25" s="134">
        <v>95.850000000000009</v>
      </c>
      <c r="F25" s="134">
        <v>82.9</v>
      </c>
      <c r="G25" s="26"/>
      <c r="H25" s="140">
        <f t="shared" si="0"/>
        <v>0.86489306207616068</v>
      </c>
      <c r="I25" s="47"/>
      <c r="J25" s="63"/>
      <c r="K25" s="13"/>
      <c r="L25" s="13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</row>
    <row r="26" spans="1:210" ht="15.75" customHeight="1">
      <c r="A26" s="233" t="s">
        <v>21</v>
      </c>
      <c r="B26" s="234"/>
      <c r="C26" s="235" t="s">
        <v>46</v>
      </c>
      <c r="D26" s="251"/>
      <c r="E26" s="134">
        <v>95.850000000000009</v>
      </c>
      <c r="F26" s="134">
        <v>82.9</v>
      </c>
      <c r="G26" s="26"/>
      <c r="H26" s="140">
        <f t="shared" si="0"/>
        <v>0.86489306207616068</v>
      </c>
      <c r="I26" s="47"/>
      <c r="J26" s="6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</row>
    <row r="27" spans="1:210">
      <c r="A27" s="233" t="s">
        <v>22</v>
      </c>
      <c r="B27" s="234"/>
      <c r="C27" s="235" t="s">
        <v>27</v>
      </c>
      <c r="D27" s="251"/>
      <c r="E27" s="134">
        <v>98</v>
      </c>
      <c r="F27" s="134">
        <v>84.75</v>
      </c>
      <c r="G27" s="26"/>
      <c r="H27" s="140">
        <f t="shared" si="0"/>
        <v>0.86479591836734693</v>
      </c>
      <c r="I27" s="47"/>
      <c r="J27" s="6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</row>
    <row r="28" spans="1:210">
      <c r="A28" s="233" t="s">
        <v>38</v>
      </c>
      <c r="B28" s="234"/>
      <c r="C28" s="235" t="s">
        <v>47</v>
      </c>
      <c r="D28" s="251"/>
      <c r="E28" s="134">
        <v>103.55</v>
      </c>
      <c r="F28" s="134">
        <v>89.550000000000011</v>
      </c>
      <c r="G28" s="26"/>
      <c r="H28" s="140">
        <f t="shared" si="0"/>
        <v>0.86479961371318215</v>
      </c>
      <c r="I28" s="47"/>
      <c r="J28" s="63"/>
      <c r="K28" s="13"/>
      <c r="L28" s="13"/>
    </row>
    <row r="29" spans="1:210" ht="16.149999999999999" customHeight="1">
      <c r="A29" s="233" t="s">
        <v>24</v>
      </c>
      <c r="B29" s="234"/>
      <c r="C29" s="235" t="s">
        <v>25</v>
      </c>
      <c r="D29" s="251"/>
      <c r="E29" s="134">
        <v>103.55</v>
      </c>
      <c r="F29" s="134">
        <v>89.550000000000011</v>
      </c>
      <c r="G29" s="26"/>
      <c r="H29" s="140">
        <f t="shared" si="0"/>
        <v>0.86479961371318215</v>
      </c>
      <c r="I29" s="47"/>
      <c r="J29" s="63"/>
      <c r="K29" s="13"/>
      <c r="L29" s="13"/>
    </row>
    <row r="30" spans="1:210" ht="16.149999999999999" customHeight="1" thickBot="1">
      <c r="A30" s="239" t="s">
        <v>59</v>
      </c>
      <c r="B30" s="240"/>
      <c r="C30" s="240"/>
      <c r="D30" s="241"/>
      <c r="E30" s="135">
        <v>5.8</v>
      </c>
      <c r="F30" s="135">
        <v>5</v>
      </c>
      <c r="G30" s="26"/>
      <c r="H30" s="140">
        <f t="shared" si="0"/>
        <v>0.86206896551724144</v>
      </c>
      <c r="I30" s="47">
        <v>5.8</v>
      </c>
      <c r="J30" s="62">
        <f>I30*0.865</f>
        <v>5.0169999999999995</v>
      </c>
      <c r="K30" s="13"/>
      <c r="L30" s="13"/>
    </row>
    <row r="31" spans="1:210" s="34" customFormat="1" ht="30.75" customHeight="1" thickBot="1">
      <c r="A31" s="252" t="s">
        <v>1</v>
      </c>
      <c r="B31" s="252"/>
      <c r="C31" s="252"/>
      <c r="D31" s="252"/>
      <c r="E31" s="252"/>
      <c r="F31" s="252"/>
      <c r="G31" s="25"/>
      <c r="H31" s="43"/>
      <c r="I31" s="4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</row>
    <row r="32" spans="1:210" s="34" customFormat="1" ht="15" customHeight="1">
      <c r="A32" s="230" t="s">
        <v>30</v>
      </c>
      <c r="B32" s="231"/>
      <c r="C32" s="232" t="s">
        <v>31</v>
      </c>
      <c r="D32" s="250"/>
      <c r="E32" s="133">
        <v>145.1</v>
      </c>
      <c r="F32" s="133">
        <v>125.5</v>
      </c>
      <c r="G32" s="26"/>
      <c r="H32" s="140">
        <f t="shared" si="0"/>
        <v>0.86492074431426602</v>
      </c>
      <c r="I32" s="47"/>
      <c r="J32" s="6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</row>
    <row r="33" spans="1:210" s="34" customFormat="1" ht="15" customHeight="1">
      <c r="A33" s="233" t="s">
        <v>32</v>
      </c>
      <c r="B33" s="234"/>
      <c r="C33" s="235" t="s">
        <v>39</v>
      </c>
      <c r="D33" s="251"/>
      <c r="E33" s="134">
        <v>145.1</v>
      </c>
      <c r="F33" s="134">
        <v>125.5</v>
      </c>
      <c r="G33" s="26"/>
      <c r="H33" s="140">
        <f t="shared" si="0"/>
        <v>0.86492074431426602</v>
      </c>
      <c r="I33" s="47"/>
      <c r="J33" s="6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</row>
    <row r="34" spans="1:210" s="34" customFormat="1" ht="15" customHeight="1">
      <c r="A34" s="233" t="s">
        <v>33</v>
      </c>
      <c r="B34" s="234"/>
      <c r="C34" s="235" t="s">
        <v>40</v>
      </c>
      <c r="D34" s="251"/>
      <c r="E34" s="134">
        <v>145.1</v>
      </c>
      <c r="F34" s="134">
        <v>125.5</v>
      </c>
      <c r="G34" s="26"/>
      <c r="H34" s="140">
        <f t="shared" si="0"/>
        <v>0.86492074431426602</v>
      </c>
      <c r="I34" s="47"/>
      <c r="J34" s="6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</row>
    <row r="35" spans="1:210" s="34" customFormat="1" ht="15" customHeight="1">
      <c r="A35" s="233" t="s">
        <v>28</v>
      </c>
      <c r="B35" s="234"/>
      <c r="C35" s="235" t="s">
        <v>29</v>
      </c>
      <c r="D35" s="251"/>
      <c r="E35" s="134">
        <v>145.1</v>
      </c>
      <c r="F35" s="134">
        <v>125.5</v>
      </c>
      <c r="G35" s="26"/>
      <c r="H35" s="140">
        <f t="shared" si="0"/>
        <v>0.86492074431426602</v>
      </c>
      <c r="I35" s="47"/>
      <c r="J35" s="6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</row>
    <row r="36" spans="1:210" s="34" customFormat="1" ht="15" customHeight="1">
      <c r="A36" s="233" t="s">
        <v>34</v>
      </c>
      <c r="B36" s="234"/>
      <c r="C36" s="235" t="s">
        <v>41</v>
      </c>
      <c r="D36" s="251"/>
      <c r="E36" s="134">
        <v>146.35</v>
      </c>
      <c r="F36" s="134">
        <v>126.60000000000001</v>
      </c>
      <c r="G36" s="26"/>
      <c r="H36" s="140">
        <f t="shared" si="0"/>
        <v>0.86504953877690482</v>
      </c>
      <c r="I36" s="47"/>
      <c r="J36" s="6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</row>
    <row r="37" spans="1:210" s="34" customFormat="1" ht="15" customHeight="1">
      <c r="A37" s="233" t="s">
        <v>35</v>
      </c>
      <c r="B37" s="234"/>
      <c r="C37" s="235" t="s">
        <v>42</v>
      </c>
      <c r="D37" s="251"/>
      <c r="E37" s="134">
        <v>146.35</v>
      </c>
      <c r="F37" s="134">
        <v>126.60000000000001</v>
      </c>
      <c r="G37" s="26"/>
      <c r="H37" s="140">
        <f t="shared" si="0"/>
        <v>0.86504953877690482</v>
      </c>
      <c r="I37" s="47"/>
      <c r="J37" s="6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</row>
    <row r="38" spans="1:210" s="34" customFormat="1" ht="15" customHeight="1">
      <c r="A38" s="233" t="s">
        <v>20</v>
      </c>
      <c r="B38" s="234"/>
      <c r="C38" s="235" t="s">
        <v>43</v>
      </c>
      <c r="D38" s="251"/>
      <c r="E38" s="134">
        <v>146.35</v>
      </c>
      <c r="F38" s="134">
        <v>126.60000000000001</v>
      </c>
      <c r="G38" s="26"/>
      <c r="H38" s="140">
        <f t="shared" si="0"/>
        <v>0.86504953877690482</v>
      </c>
      <c r="I38" s="47"/>
      <c r="J38" s="6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</row>
    <row r="39" spans="1:210" s="34" customFormat="1" ht="15" customHeight="1">
      <c r="A39" s="233" t="s">
        <v>36</v>
      </c>
      <c r="B39" s="234"/>
      <c r="C39" s="235" t="s">
        <v>44</v>
      </c>
      <c r="D39" s="251"/>
      <c r="E39" s="134">
        <v>150.44999999999999</v>
      </c>
      <c r="F39" s="134">
        <v>130.15</v>
      </c>
      <c r="G39" s="26"/>
      <c r="H39" s="140">
        <f t="shared" si="0"/>
        <v>0.86507145230973759</v>
      </c>
      <c r="I39" s="47"/>
      <c r="J39" s="6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</row>
    <row r="40" spans="1:210" s="34" customFormat="1" ht="15" customHeight="1">
      <c r="A40" s="233" t="s">
        <v>37</v>
      </c>
      <c r="B40" s="234"/>
      <c r="C40" s="235" t="s">
        <v>45</v>
      </c>
      <c r="D40" s="251"/>
      <c r="E40" s="134">
        <v>150.44999999999999</v>
      </c>
      <c r="F40" s="134">
        <v>130.15</v>
      </c>
      <c r="G40" s="26"/>
      <c r="H40" s="140">
        <f t="shared" si="0"/>
        <v>0.86507145230973759</v>
      </c>
      <c r="I40" s="47"/>
      <c r="J40" s="6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</row>
    <row r="41" spans="1:210" s="34" customFormat="1">
      <c r="A41" s="233" t="s">
        <v>21</v>
      </c>
      <c r="B41" s="234"/>
      <c r="C41" s="235" t="s">
        <v>46</v>
      </c>
      <c r="D41" s="251"/>
      <c r="E41" s="134">
        <v>150.44999999999999</v>
      </c>
      <c r="F41" s="134">
        <v>130.15</v>
      </c>
      <c r="G41" s="26"/>
      <c r="H41" s="140">
        <f t="shared" si="0"/>
        <v>0.86507145230973759</v>
      </c>
      <c r="I41" s="47"/>
      <c r="J41" s="6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</row>
    <row r="42" spans="1:210" s="34" customFormat="1">
      <c r="A42" s="233" t="s">
        <v>22</v>
      </c>
      <c r="B42" s="234"/>
      <c r="C42" s="235" t="s">
        <v>27</v>
      </c>
      <c r="D42" s="251"/>
      <c r="E42" s="134">
        <v>152.6</v>
      </c>
      <c r="F42" s="134">
        <v>132</v>
      </c>
      <c r="G42" s="26"/>
      <c r="H42" s="140">
        <f t="shared" si="0"/>
        <v>0.86500655307994756</v>
      </c>
      <c r="I42" s="47"/>
      <c r="J42" s="6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</row>
    <row r="43" spans="1:210" s="34" customFormat="1">
      <c r="A43" s="233" t="s">
        <v>38</v>
      </c>
      <c r="B43" s="234"/>
      <c r="C43" s="235" t="s">
        <v>47</v>
      </c>
      <c r="D43" s="251"/>
      <c r="E43" s="134">
        <v>158.14999999999998</v>
      </c>
      <c r="F43" s="134">
        <v>136.80000000000001</v>
      </c>
      <c r="G43" s="26"/>
      <c r="H43" s="140">
        <f t="shared" si="0"/>
        <v>0.86500158077774281</v>
      </c>
      <c r="I43" s="47"/>
      <c r="J43" s="6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</row>
    <row r="44" spans="1:210" s="34" customFormat="1">
      <c r="A44" s="221" t="s">
        <v>24</v>
      </c>
      <c r="B44" s="222"/>
      <c r="C44" s="223" t="s">
        <v>25</v>
      </c>
      <c r="D44" s="224"/>
      <c r="E44" s="134">
        <v>158.14999999999998</v>
      </c>
      <c r="F44" s="134">
        <v>136.80000000000001</v>
      </c>
      <c r="G44" s="26"/>
      <c r="H44" s="140">
        <f t="shared" si="0"/>
        <v>0.86500158077774281</v>
      </c>
      <c r="I44" s="47"/>
      <c r="J44" s="6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</row>
    <row r="45" spans="1:210" s="34" customFormat="1" ht="16.149999999999999" customHeight="1">
      <c r="A45" s="233" t="s">
        <v>55</v>
      </c>
      <c r="B45" s="234"/>
      <c r="C45" s="235" t="s">
        <v>56</v>
      </c>
      <c r="D45" s="251"/>
      <c r="E45" s="134">
        <v>190.65</v>
      </c>
      <c r="F45" s="134">
        <v>164.9</v>
      </c>
      <c r="G45" s="26"/>
      <c r="H45" s="140">
        <f t="shared" si="0"/>
        <v>0.86493574613165491</v>
      </c>
      <c r="I45" s="47"/>
      <c r="J45" s="6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</row>
    <row r="46" spans="1:210">
      <c r="A46" s="236" t="s">
        <v>59</v>
      </c>
      <c r="B46" s="237"/>
      <c r="C46" s="237"/>
      <c r="D46" s="238"/>
      <c r="E46" s="134">
        <v>19.100000000000001</v>
      </c>
      <c r="F46" s="134">
        <v>16.5</v>
      </c>
      <c r="H46" s="140">
        <f t="shared" si="0"/>
        <v>0.86387434554973819</v>
      </c>
      <c r="I46" s="3">
        <v>19.100000000000001</v>
      </c>
      <c r="J46" s="213">
        <f>I46*0.865</f>
        <v>16.5215</v>
      </c>
    </row>
    <row r="47" spans="1:210" ht="16" thickBot="1">
      <c r="A47" s="239" t="s">
        <v>60</v>
      </c>
      <c r="B47" s="240"/>
      <c r="C47" s="240"/>
      <c r="D47" s="241"/>
      <c r="E47" s="135">
        <v>61.5</v>
      </c>
      <c r="F47" s="135">
        <v>53.2</v>
      </c>
      <c r="H47" s="140">
        <f t="shared" si="0"/>
        <v>0.86504065040650413</v>
      </c>
      <c r="I47" s="3">
        <v>61.5</v>
      </c>
      <c r="J47" s="213">
        <f>I47*0.865</f>
        <v>53.197499999999998</v>
      </c>
    </row>
    <row r="48" spans="1:210">
      <c r="H48" s="140"/>
    </row>
    <row r="49" spans="8:8">
      <c r="H49" s="43"/>
    </row>
    <row r="50" spans="8:8">
      <c r="H50" s="43"/>
    </row>
    <row r="51" spans="8:8">
      <c r="H51" s="43"/>
    </row>
    <row r="52" spans="8:8">
      <c r="H52" s="43"/>
    </row>
    <row r="53" spans="8:8">
      <c r="H53" s="43"/>
    </row>
    <row r="54" spans="8:8">
      <c r="H54" s="43"/>
    </row>
    <row r="55" spans="8:8">
      <c r="H55" s="43"/>
    </row>
    <row r="56" spans="8:8">
      <c r="H56" s="43"/>
    </row>
    <row r="57" spans="8:8">
      <c r="H57" s="43"/>
    </row>
    <row r="58" spans="8:8">
      <c r="H58" s="43"/>
    </row>
    <row r="59" spans="8:8">
      <c r="H59" s="43"/>
    </row>
    <row r="60" spans="8:8">
      <c r="H60" s="43"/>
    </row>
    <row r="61" spans="8:8">
      <c r="H61" s="43"/>
    </row>
  </sheetData>
  <mergeCells count="64">
    <mergeCell ref="A46:D46"/>
    <mergeCell ref="A47:D47"/>
    <mergeCell ref="A42:B42"/>
    <mergeCell ref="C42:D42"/>
    <mergeCell ref="A43:B43"/>
    <mergeCell ref="C43:D43"/>
    <mergeCell ref="A45:B45"/>
    <mergeCell ref="C45:D45"/>
    <mergeCell ref="A44:B44"/>
    <mergeCell ref="C44:D44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3:B33"/>
    <mergeCell ref="C33:D33"/>
    <mergeCell ref="A34:B34"/>
    <mergeCell ref="C34:D34"/>
    <mergeCell ref="A35:B35"/>
    <mergeCell ref="C35:D35"/>
    <mergeCell ref="A32:B32"/>
    <mergeCell ref="C32:D32"/>
    <mergeCell ref="A29:B29"/>
    <mergeCell ref="C29:D29"/>
    <mergeCell ref="A31:F31"/>
    <mergeCell ref="A30:D30"/>
    <mergeCell ref="A26:B26"/>
    <mergeCell ref="C26:D26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6:F16"/>
    <mergeCell ref="A1:G1"/>
    <mergeCell ref="A2:G2"/>
    <mergeCell ref="A3:G3"/>
    <mergeCell ref="A5:A11"/>
    <mergeCell ref="A15:D15"/>
  </mergeCells>
  <printOptions horizontalCentered="1"/>
  <pageMargins left="0.31496062992126" right="0.31496062992126" top="0.55118110236220497" bottom="0.35433070866141703" header="0.31496062992126" footer="0.31496062992126"/>
  <pageSetup scale="90" orientation="portrait" r:id="rId1"/>
  <headerFooter alignWithMargins="0">
    <oddFooter>&amp;L&amp;P
&amp;RSEXTON WEST
April 4, 2025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5A12-8F1C-4B0C-B38C-E8D3EE90372D}">
  <sheetPr transitionEvaluation="1">
    <tabColor theme="9" tint="0.59999389629810485"/>
    <pageSetUpPr fitToPage="1"/>
  </sheetPr>
  <dimension ref="A1:HB61"/>
  <sheetViews>
    <sheetView defaultGridColor="0" view="pageBreakPreview" colorId="22" zoomScale="90" zoomScaleNormal="110" zoomScaleSheetLayoutView="90" workbookViewId="0">
      <selection activeCell="E30" sqref="E30"/>
    </sheetView>
  </sheetViews>
  <sheetFormatPr defaultColWidth="9" defaultRowHeight="15.5"/>
  <cols>
    <col min="1" max="1" width="8.23046875" style="4" customWidth="1"/>
    <col min="2" max="4" width="11.84375" style="3" customWidth="1"/>
    <col min="5" max="6" width="14.23046875" style="3" customWidth="1"/>
    <col min="7" max="7" width="6.53515625" style="3" customWidth="1"/>
    <col min="8" max="8" width="9" style="34"/>
    <col min="9" max="9" width="11.84375" style="3" customWidth="1"/>
    <col min="10" max="10" width="9" style="34"/>
    <col min="11" max="11" width="9" style="3"/>
    <col min="12" max="12" width="11.23046875" style="3" bestFit="1" customWidth="1"/>
    <col min="13" max="16384" width="9" style="3"/>
  </cols>
  <sheetData>
    <row r="1" spans="1:210" ht="24" customHeight="1">
      <c r="A1" s="220" t="s">
        <v>14</v>
      </c>
      <c r="B1" s="220"/>
      <c r="C1" s="220"/>
      <c r="D1" s="220"/>
      <c r="E1" s="220"/>
      <c r="F1" s="220"/>
      <c r="G1" s="220"/>
    </row>
    <row r="2" spans="1:210" ht="21.75" customHeight="1">
      <c r="A2" s="219" t="str">
        <f>'Moulded Panel'!A2</f>
        <v>NET PRICE LIST (April 4, 2025)</v>
      </c>
      <c r="B2" s="219"/>
      <c r="C2" s="219"/>
      <c r="D2" s="219"/>
      <c r="E2" s="219"/>
      <c r="F2" s="219"/>
      <c r="G2" s="219"/>
    </row>
    <row r="3" spans="1:210" ht="30" customHeight="1">
      <c r="A3" s="217" t="str">
        <f>'Moulded Panel'!A3</f>
        <v>SEXTON WEST</v>
      </c>
      <c r="B3" s="217"/>
      <c r="C3" s="217"/>
      <c r="D3" s="217"/>
      <c r="E3" s="217"/>
      <c r="F3" s="217"/>
      <c r="G3" s="217"/>
    </row>
    <row r="4" spans="1:210" ht="11.25" customHeight="1">
      <c r="B4" s="1"/>
      <c r="C4" s="2"/>
      <c r="D4" s="2"/>
      <c r="E4" s="2"/>
      <c r="F4" s="2"/>
      <c r="G4" s="1"/>
    </row>
    <row r="5" spans="1:210" ht="19.5" customHeight="1">
      <c r="A5" s="258" t="s">
        <v>48</v>
      </c>
      <c r="B5" s="1"/>
      <c r="C5" s="2"/>
      <c r="D5" s="2"/>
      <c r="E5" s="2"/>
      <c r="F5" s="2"/>
      <c r="G5" s="1"/>
      <c r="H5" s="9"/>
    </row>
    <row r="6" spans="1:210" ht="15.75" customHeight="1">
      <c r="A6" s="218"/>
      <c r="B6" s="1"/>
      <c r="C6" s="2"/>
      <c r="D6" s="2"/>
      <c r="E6" s="2"/>
      <c r="F6" s="2"/>
      <c r="G6" s="1"/>
      <c r="H6" s="1"/>
    </row>
    <row r="7" spans="1:210" ht="15.75" customHeight="1">
      <c r="A7" s="218"/>
      <c r="B7" s="1"/>
      <c r="C7" s="2"/>
      <c r="D7" s="2"/>
      <c r="E7" s="2"/>
      <c r="F7" s="2"/>
      <c r="G7" s="1"/>
      <c r="H7" s="1"/>
    </row>
    <row r="8" spans="1:210" ht="20.25" customHeight="1">
      <c r="A8" s="218"/>
      <c r="B8" s="1"/>
      <c r="C8" s="2"/>
      <c r="D8" s="2"/>
      <c r="E8" s="2"/>
      <c r="F8" s="2"/>
      <c r="G8" s="1"/>
      <c r="H8" s="1"/>
    </row>
    <row r="9" spans="1:210" ht="20.25" customHeight="1">
      <c r="A9" s="218"/>
      <c r="B9" s="1"/>
      <c r="C9" s="2"/>
      <c r="D9" s="2"/>
      <c r="E9" s="2"/>
      <c r="F9" s="2"/>
      <c r="G9" s="1"/>
      <c r="H9" s="1"/>
    </row>
    <row r="10" spans="1:210" ht="9" customHeight="1">
      <c r="A10" s="218"/>
      <c r="B10" s="1"/>
      <c r="C10" s="2"/>
      <c r="D10" s="2"/>
      <c r="E10" s="2"/>
      <c r="F10" s="2"/>
      <c r="G10" s="1"/>
      <c r="H10" s="1"/>
    </row>
    <row r="11" spans="1:210" ht="15.75" customHeight="1" thickBot="1">
      <c r="A11" s="218"/>
      <c r="B11" s="1"/>
      <c r="C11" s="2"/>
      <c r="D11" s="2"/>
      <c r="E11" s="2"/>
      <c r="F11" s="2"/>
      <c r="G11" s="1"/>
      <c r="H11" s="1"/>
    </row>
    <row r="12" spans="1:210" ht="16.5" thickTop="1" thickBot="1">
      <c r="A12" s="20" t="s">
        <v>9</v>
      </c>
      <c r="B12" s="19" t="s">
        <v>12</v>
      </c>
      <c r="C12" s="24"/>
      <c r="D12" s="14"/>
      <c r="E12" s="9"/>
      <c r="F12" s="10"/>
      <c r="G12" s="11"/>
      <c r="H12" s="7"/>
    </row>
    <row r="13" spans="1:210" ht="16.5" thickTop="1" thickBot="1">
      <c r="A13" s="20" t="s">
        <v>10</v>
      </c>
      <c r="B13" s="19" t="s">
        <v>12</v>
      </c>
      <c r="C13" s="24"/>
      <c r="D13" s="14"/>
      <c r="E13" s="9"/>
      <c r="F13" s="10"/>
      <c r="G13" s="11"/>
      <c r="H13" s="37"/>
    </row>
    <row r="14" spans="1:210" ht="13.5" customHeight="1" thickTop="1" thickBot="1">
      <c r="B14" s="11"/>
      <c r="C14" s="11"/>
      <c r="D14" s="11"/>
      <c r="E14" s="11"/>
      <c r="F14" s="11"/>
      <c r="G14" s="12"/>
      <c r="H14" s="14"/>
    </row>
    <row r="15" spans="1:210" ht="36" customHeight="1" thickTop="1" thickBot="1">
      <c r="A15" s="225" t="s">
        <v>3</v>
      </c>
      <c r="B15" s="226"/>
      <c r="C15" s="226"/>
      <c r="D15" s="227"/>
      <c r="E15" s="40" t="s">
        <v>105</v>
      </c>
      <c r="F15" s="40" t="s">
        <v>54</v>
      </c>
      <c r="G15" s="52"/>
      <c r="H15" s="14"/>
      <c r="I15" s="13"/>
      <c r="J15" s="3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</row>
    <row r="16" spans="1:210" ht="30" customHeight="1" thickTop="1" thickBot="1">
      <c r="A16" s="229" t="s">
        <v>111</v>
      </c>
      <c r="B16" s="229"/>
      <c r="C16" s="229"/>
      <c r="D16" s="229"/>
      <c r="E16" s="229"/>
      <c r="F16" s="229"/>
      <c r="G16" s="25"/>
      <c r="H16" s="10"/>
      <c r="I16" s="13"/>
      <c r="J16" s="3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</row>
    <row r="17" spans="1:210">
      <c r="A17" s="230" t="s">
        <v>30</v>
      </c>
      <c r="B17" s="231"/>
      <c r="C17" s="232" t="s">
        <v>31</v>
      </c>
      <c r="D17" s="250"/>
      <c r="E17" s="133">
        <v>125.45</v>
      </c>
      <c r="F17" s="133">
        <v>108.5</v>
      </c>
      <c r="G17" s="26"/>
      <c r="H17" s="142">
        <f>F17/E17</f>
        <v>0.86488640892785973</v>
      </c>
      <c r="I17" s="47"/>
      <c r="J17" s="6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</row>
    <row r="18" spans="1:210">
      <c r="A18" s="233" t="s">
        <v>32</v>
      </c>
      <c r="B18" s="234"/>
      <c r="C18" s="235" t="s">
        <v>39</v>
      </c>
      <c r="D18" s="251"/>
      <c r="E18" s="134">
        <v>125.45</v>
      </c>
      <c r="F18" s="134">
        <v>108.5</v>
      </c>
      <c r="G18" s="26"/>
      <c r="H18" s="142">
        <f t="shared" ref="H18:H47" si="0">F18/E18</f>
        <v>0.86488640892785973</v>
      </c>
      <c r="I18" s="47"/>
      <c r="J18" s="6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</row>
    <row r="19" spans="1:210">
      <c r="A19" s="233" t="s">
        <v>33</v>
      </c>
      <c r="B19" s="234"/>
      <c r="C19" s="235" t="s">
        <v>40</v>
      </c>
      <c r="D19" s="251"/>
      <c r="E19" s="134">
        <v>125.45</v>
      </c>
      <c r="F19" s="134">
        <v>108.5</v>
      </c>
      <c r="G19" s="26"/>
      <c r="H19" s="142">
        <f t="shared" si="0"/>
        <v>0.86488640892785973</v>
      </c>
      <c r="I19" s="47"/>
      <c r="J19" s="6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</row>
    <row r="20" spans="1:210">
      <c r="A20" s="233" t="s">
        <v>28</v>
      </c>
      <c r="B20" s="234"/>
      <c r="C20" s="235" t="s">
        <v>29</v>
      </c>
      <c r="D20" s="251"/>
      <c r="E20" s="134">
        <v>125.45</v>
      </c>
      <c r="F20" s="134">
        <v>108.5</v>
      </c>
      <c r="G20" s="26"/>
      <c r="H20" s="142">
        <f t="shared" si="0"/>
        <v>0.86488640892785973</v>
      </c>
      <c r="I20" s="47"/>
      <c r="J20" s="6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</row>
    <row r="21" spans="1:210">
      <c r="A21" s="233" t="s">
        <v>34</v>
      </c>
      <c r="B21" s="234"/>
      <c r="C21" s="235" t="s">
        <v>41</v>
      </c>
      <c r="D21" s="251"/>
      <c r="E21" s="134">
        <v>126.7</v>
      </c>
      <c r="F21" s="134">
        <v>109.60000000000001</v>
      </c>
      <c r="G21" s="26"/>
      <c r="H21" s="142">
        <f t="shared" si="0"/>
        <v>0.86503551696921865</v>
      </c>
      <c r="I21" s="47"/>
      <c r="J21" s="6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</row>
    <row r="22" spans="1:210">
      <c r="A22" s="233" t="s">
        <v>35</v>
      </c>
      <c r="B22" s="234"/>
      <c r="C22" s="235" t="s">
        <v>42</v>
      </c>
      <c r="D22" s="251"/>
      <c r="E22" s="134">
        <v>126.7</v>
      </c>
      <c r="F22" s="134">
        <v>109.60000000000001</v>
      </c>
      <c r="G22" s="26"/>
      <c r="H22" s="142">
        <f t="shared" si="0"/>
        <v>0.86503551696921865</v>
      </c>
      <c r="I22" s="47"/>
      <c r="J22" s="6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</row>
    <row r="23" spans="1:210">
      <c r="A23" s="233" t="s">
        <v>20</v>
      </c>
      <c r="B23" s="234"/>
      <c r="C23" s="235" t="s">
        <v>43</v>
      </c>
      <c r="D23" s="251"/>
      <c r="E23" s="134">
        <v>126.7</v>
      </c>
      <c r="F23" s="134">
        <v>109.60000000000001</v>
      </c>
      <c r="G23" s="26"/>
      <c r="H23" s="142">
        <f t="shared" si="0"/>
        <v>0.86503551696921865</v>
      </c>
      <c r="I23" s="47"/>
      <c r="J23" s="6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</row>
    <row r="24" spans="1:210" s="32" customFormat="1">
      <c r="A24" s="233" t="s">
        <v>36</v>
      </c>
      <c r="B24" s="234"/>
      <c r="C24" s="235" t="s">
        <v>44</v>
      </c>
      <c r="D24" s="251"/>
      <c r="E24" s="134">
        <v>130.80000000000001</v>
      </c>
      <c r="F24" s="134">
        <v>113.15</v>
      </c>
      <c r="G24" s="26"/>
      <c r="H24" s="142">
        <f t="shared" si="0"/>
        <v>0.86506116207951067</v>
      </c>
      <c r="I24" s="47"/>
      <c r="J24" s="63"/>
      <c r="K24" s="13"/>
      <c r="L24" s="13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</row>
    <row r="25" spans="1:210" s="32" customFormat="1">
      <c r="A25" s="233" t="s">
        <v>37</v>
      </c>
      <c r="B25" s="234"/>
      <c r="C25" s="235" t="s">
        <v>45</v>
      </c>
      <c r="D25" s="251"/>
      <c r="E25" s="134">
        <v>130.80000000000001</v>
      </c>
      <c r="F25" s="134">
        <v>113.15</v>
      </c>
      <c r="G25" s="26"/>
      <c r="H25" s="142">
        <f t="shared" si="0"/>
        <v>0.86506116207951067</v>
      </c>
      <c r="I25" s="47"/>
      <c r="J25" s="63"/>
      <c r="K25" s="13"/>
      <c r="L25" s="13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</row>
    <row r="26" spans="1:210" ht="15.75" customHeight="1">
      <c r="A26" s="233" t="s">
        <v>21</v>
      </c>
      <c r="B26" s="234"/>
      <c r="C26" s="235" t="s">
        <v>46</v>
      </c>
      <c r="D26" s="251"/>
      <c r="E26" s="134">
        <v>130.80000000000001</v>
      </c>
      <c r="F26" s="134">
        <v>113.15</v>
      </c>
      <c r="G26" s="26"/>
      <c r="H26" s="142">
        <f t="shared" si="0"/>
        <v>0.86506116207951067</v>
      </c>
      <c r="I26" s="47"/>
      <c r="J26" s="6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</row>
    <row r="27" spans="1:210">
      <c r="A27" s="233" t="s">
        <v>22</v>
      </c>
      <c r="B27" s="234"/>
      <c r="C27" s="235" t="s">
        <v>27</v>
      </c>
      <c r="D27" s="251"/>
      <c r="E27" s="134">
        <v>132.94999999999999</v>
      </c>
      <c r="F27" s="134">
        <v>115</v>
      </c>
      <c r="G27" s="26"/>
      <c r="H27" s="142">
        <f t="shared" si="0"/>
        <v>0.86498683715682589</v>
      </c>
      <c r="I27" s="47"/>
      <c r="J27" s="6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</row>
    <row r="28" spans="1:210">
      <c r="A28" s="233" t="s">
        <v>38</v>
      </c>
      <c r="B28" s="234"/>
      <c r="C28" s="235" t="s">
        <v>47</v>
      </c>
      <c r="D28" s="251"/>
      <c r="E28" s="134">
        <v>138.5</v>
      </c>
      <c r="F28" s="134">
        <v>119.80000000000001</v>
      </c>
      <c r="G28" s="26"/>
      <c r="H28" s="142">
        <f t="shared" si="0"/>
        <v>0.86498194945848383</v>
      </c>
      <c r="I28" s="47"/>
      <c r="J28" s="63"/>
      <c r="K28" s="13"/>
      <c r="L28" s="13"/>
    </row>
    <row r="29" spans="1:210" ht="16.149999999999999" customHeight="1">
      <c r="A29" s="233" t="s">
        <v>24</v>
      </c>
      <c r="B29" s="234"/>
      <c r="C29" s="235" t="s">
        <v>25</v>
      </c>
      <c r="D29" s="251"/>
      <c r="E29" s="134">
        <v>138.5</v>
      </c>
      <c r="F29" s="134">
        <v>119.80000000000001</v>
      </c>
      <c r="G29" s="26"/>
      <c r="H29" s="142">
        <f t="shared" si="0"/>
        <v>0.86498194945848383</v>
      </c>
      <c r="I29" s="47"/>
      <c r="J29" s="63"/>
      <c r="K29" s="13"/>
      <c r="L29" s="13"/>
    </row>
    <row r="30" spans="1:210" ht="16.149999999999999" customHeight="1">
      <c r="A30" s="236" t="s">
        <v>59</v>
      </c>
      <c r="B30" s="237"/>
      <c r="C30" s="237"/>
      <c r="D30" s="238"/>
      <c r="E30" s="134">
        <v>30.75</v>
      </c>
      <c r="F30" s="134">
        <v>26.6</v>
      </c>
      <c r="G30" s="26"/>
      <c r="H30" s="142">
        <f t="shared" si="0"/>
        <v>0.86504065040650413</v>
      </c>
      <c r="I30" s="47"/>
      <c r="J30" s="63"/>
      <c r="K30" s="13"/>
      <c r="L30" s="13"/>
    </row>
    <row r="31" spans="1:210" ht="16.149999999999999" customHeight="1" thickBot="1">
      <c r="A31" s="239" t="s">
        <v>60</v>
      </c>
      <c r="B31" s="240"/>
      <c r="C31" s="240"/>
      <c r="D31" s="241"/>
      <c r="E31" s="135">
        <v>73.150000000000006</v>
      </c>
      <c r="F31" s="135">
        <v>63.25</v>
      </c>
      <c r="G31" s="26"/>
      <c r="H31" s="142">
        <f t="shared" si="0"/>
        <v>0.86466165413533824</v>
      </c>
      <c r="I31" s="47"/>
      <c r="J31" s="63"/>
      <c r="K31" s="13"/>
      <c r="L31" s="13"/>
    </row>
    <row r="32" spans="1:210" s="34" customFormat="1" ht="30.75" customHeight="1" thickBot="1">
      <c r="A32" s="228" t="s">
        <v>117</v>
      </c>
      <c r="B32" s="228"/>
      <c r="C32" s="228"/>
      <c r="D32" s="228"/>
      <c r="E32" s="228"/>
      <c r="F32" s="228"/>
      <c r="G32" s="25"/>
      <c r="H32" s="43"/>
      <c r="I32" s="4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</row>
    <row r="33" spans="1:210" s="34" customFormat="1" ht="15" customHeight="1">
      <c r="A33" s="230" t="s">
        <v>30</v>
      </c>
      <c r="B33" s="231"/>
      <c r="C33" s="232" t="s">
        <v>31</v>
      </c>
      <c r="D33" s="250"/>
      <c r="E33" s="133">
        <v>139.25</v>
      </c>
      <c r="F33" s="133">
        <v>120.45</v>
      </c>
      <c r="G33" s="26"/>
      <c r="H33" s="140">
        <f t="shared" si="0"/>
        <v>0.86499102333931777</v>
      </c>
      <c r="I33" s="47"/>
      <c r="J33" s="6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</row>
    <row r="34" spans="1:210" s="34" customFormat="1" ht="15" customHeight="1">
      <c r="A34" s="233" t="s">
        <v>32</v>
      </c>
      <c r="B34" s="234"/>
      <c r="C34" s="235" t="s">
        <v>39</v>
      </c>
      <c r="D34" s="251"/>
      <c r="E34" s="134">
        <v>139.25</v>
      </c>
      <c r="F34" s="134">
        <v>120.45</v>
      </c>
      <c r="G34" s="26"/>
      <c r="H34" s="140">
        <f t="shared" si="0"/>
        <v>0.86499102333931777</v>
      </c>
      <c r="I34" s="47"/>
      <c r="J34" s="6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</row>
    <row r="35" spans="1:210" s="34" customFormat="1" ht="15" customHeight="1">
      <c r="A35" s="233" t="s">
        <v>33</v>
      </c>
      <c r="B35" s="234"/>
      <c r="C35" s="235" t="s">
        <v>40</v>
      </c>
      <c r="D35" s="251"/>
      <c r="E35" s="134">
        <v>139.25</v>
      </c>
      <c r="F35" s="134">
        <v>120.45</v>
      </c>
      <c r="G35" s="26"/>
      <c r="H35" s="140">
        <f t="shared" si="0"/>
        <v>0.86499102333931777</v>
      </c>
      <c r="I35" s="47"/>
      <c r="J35" s="6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</row>
    <row r="36" spans="1:210" s="34" customFormat="1" ht="15" customHeight="1">
      <c r="A36" s="233" t="s">
        <v>28</v>
      </c>
      <c r="B36" s="234"/>
      <c r="C36" s="235" t="s">
        <v>29</v>
      </c>
      <c r="D36" s="251"/>
      <c r="E36" s="134">
        <v>139.25</v>
      </c>
      <c r="F36" s="134">
        <v>120.45</v>
      </c>
      <c r="G36" s="26"/>
      <c r="H36" s="140">
        <f t="shared" si="0"/>
        <v>0.86499102333931777</v>
      </c>
      <c r="I36" s="47"/>
      <c r="J36" s="6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</row>
    <row r="37" spans="1:210" s="34" customFormat="1" ht="15" customHeight="1">
      <c r="A37" s="233" t="s">
        <v>34</v>
      </c>
      <c r="B37" s="234"/>
      <c r="C37" s="235" t="s">
        <v>41</v>
      </c>
      <c r="D37" s="251"/>
      <c r="E37" s="134">
        <v>140.5</v>
      </c>
      <c r="F37" s="134">
        <v>121.55000000000001</v>
      </c>
      <c r="G37" s="26"/>
      <c r="H37" s="140">
        <f t="shared" si="0"/>
        <v>0.86512455516014242</v>
      </c>
      <c r="I37" s="47"/>
      <c r="J37" s="6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</row>
    <row r="38" spans="1:210" s="34" customFormat="1" ht="15" customHeight="1">
      <c r="A38" s="233" t="s">
        <v>35</v>
      </c>
      <c r="B38" s="234"/>
      <c r="C38" s="235" t="s">
        <v>42</v>
      </c>
      <c r="D38" s="251"/>
      <c r="E38" s="134">
        <v>140.5</v>
      </c>
      <c r="F38" s="134">
        <v>121.55000000000001</v>
      </c>
      <c r="G38" s="26"/>
      <c r="H38" s="140">
        <f t="shared" si="0"/>
        <v>0.86512455516014242</v>
      </c>
      <c r="I38" s="47"/>
      <c r="J38" s="6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</row>
    <row r="39" spans="1:210" s="34" customFormat="1" ht="15" customHeight="1">
      <c r="A39" s="233" t="s">
        <v>20</v>
      </c>
      <c r="B39" s="234"/>
      <c r="C39" s="235" t="s">
        <v>43</v>
      </c>
      <c r="D39" s="251"/>
      <c r="E39" s="134">
        <v>140.5</v>
      </c>
      <c r="F39" s="134">
        <v>121.55000000000001</v>
      </c>
      <c r="G39" s="26"/>
      <c r="H39" s="140">
        <f t="shared" si="0"/>
        <v>0.86512455516014242</v>
      </c>
      <c r="I39" s="47"/>
      <c r="J39" s="6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</row>
    <row r="40" spans="1:210" s="34" customFormat="1" ht="15" customHeight="1">
      <c r="A40" s="233" t="s">
        <v>36</v>
      </c>
      <c r="B40" s="234"/>
      <c r="C40" s="235" t="s">
        <v>44</v>
      </c>
      <c r="D40" s="251"/>
      <c r="E40" s="134">
        <v>144.60000000000002</v>
      </c>
      <c r="F40" s="134">
        <v>125.10000000000001</v>
      </c>
      <c r="G40" s="26"/>
      <c r="H40" s="140">
        <f t="shared" si="0"/>
        <v>0.86514522821576756</v>
      </c>
      <c r="I40" s="47"/>
      <c r="J40" s="6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</row>
    <row r="41" spans="1:210" s="34" customFormat="1" ht="15" customHeight="1">
      <c r="A41" s="233" t="s">
        <v>37</v>
      </c>
      <c r="B41" s="234"/>
      <c r="C41" s="235" t="s">
        <v>45</v>
      </c>
      <c r="D41" s="251"/>
      <c r="E41" s="134">
        <v>144.60000000000002</v>
      </c>
      <c r="F41" s="134">
        <v>125.10000000000001</v>
      </c>
      <c r="G41" s="26"/>
      <c r="H41" s="140">
        <f t="shared" si="0"/>
        <v>0.86514522821576756</v>
      </c>
      <c r="I41" s="47"/>
      <c r="J41" s="6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</row>
    <row r="42" spans="1:210" s="34" customFormat="1">
      <c r="A42" s="233" t="s">
        <v>21</v>
      </c>
      <c r="B42" s="234"/>
      <c r="C42" s="235" t="s">
        <v>46</v>
      </c>
      <c r="D42" s="251"/>
      <c r="E42" s="134">
        <v>144.60000000000002</v>
      </c>
      <c r="F42" s="134">
        <v>125.10000000000001</v>
      </c>
      <c r="G42" s="26"/>
      <c r="H42" s="140">
        <f t="shared" si="0"/>
        <v>0.86514522821576756</v>
      </c>
      <c r="I42" s="47"/>
      <c r="J42" s="6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</row>
    <row r="43" spans="1:210" s="34" customFormat="1">
      <c r="A43" s="233" t="s">
        <v>22</v>
      </c>
      <c r="B43" s="234"/>
      <c r="C43" s="235" t="s">
        <v>27</v>
      </c>
      <c r="D43" s="251"/>
      <c r="E43" s="134">
        <v>146.75</v>
      </c>
      <c r="F43" s="134">
        <v>126.95</v>
      </c>
      <c r="G43" s="26"/>
      <c r="H43" s="140">
        <f t="shared" si="0"/>
        <v>0.86507666098807501</v>
      </c>
      <c r="I43" s="47"/>
      <c r="J43" s="6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</row>
    <row r="44" spans="1:210" s="34" customFormat="1">
      <c r="A44" s="233" t="s">
        <v>38</v>
      </c>
      <c r="B44" s="234"/>
      <c r="C44" s="235" t="s">
        <v>47</v>
      </c>
      <c r="D44" s="251"/>
      <c r="E44" s="134">
        <v>152.30000000000001</v>
      </c>
      <c r="F44" s="134">
        <v>131.75</v>
      </c>
      <c r="G44" s="26"/>
      <c r="H44" s="140">
        <f t="shared" si="0"/>
        <v>0.86506894287590275</v>
      </c>
      <c r="I44" s="47"/>
      <c r="J44" s="6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</row>
    <row r="45" spans="1:210" s="34" customFormat="1">
      <c r="A45" s="221" t="s">
        <v>24</v>
      </c>
      <c r="B45" s="222"/>
      <c r="C45" s="223" t="s">
        <v>25</v>
      </c>
      <c r="D45" s="224"/>
      <c r="E45" s="134">
        <v>152.30000000000001</v>
      </c>
      <c r="F45" s="134">
        <v>131.75</v>
      </c>
      <c r="G45" s="26"/>
      <c r="H45" s="140">
        <f t="shared" si="0"/>
        <v>0.86506894287590275</v>
      </c>
      <c r="I45" s="47"/>
      <c r="J45" s="6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</row>
    <row r="46" spans="1:210">
      <c r="A46" s="236" t="s">
        <v>59</v>
      </c>
      <c r="B46" s="237"/>
      <c r="C46" s="237"/>
      <c r="D46" s="238"/>
      <c r="E46" s="134">
        <v>30.75</v>
      </c>
      <c r="F46" s="134">
        <v>26.6</v>
      </c>
      <c r="H46" s="140">
        <f t="shared" si="0"/>
        <v>0.86504065040650413</v>
      </c>
    </row>
    <row r="47" spans="1:210" ht="16" thickBot="1">
      <c r="A47" s="239" t="s">
        <v>60</v>
      </c>
      <c r="B47" s="240"/>
      <c r="C47" s="240"/>
      <c r="D47" s="241"/>
      <c r="E47" s="135">
        <v>73.150000000000006</v>
      </c>
      <c r="F47" s="135">
        <v>63.25</v>
      </c>
      <c r="H47" s="140">
        <f t="shared" si="0"/>
        <v>0.86466165413533824</v>
      </c>
    </row>
    <row r="48" spans="1:210" ht="24" customHeight="1">
      <c r="H48" s="43"/>
    </row>
    <row r="49" spans="8:8">
      <c r="H49" s="43"/>
    </row>
    <row r="50" spans="8:8">
      <c r="H50" s="43"/>
    </row>
    <row r="51" spans="8:8">
      <c r="H51" s="43"/>
    </row>
    <row r="52" spans="8:8">
      <c r="H52" s="43"/>
    </row>
    <row r="53" spans="8:8">
      <c r="H53" s="43"/>
    </row>
    <row r="54" spans="8:8">
      <c r="H54" s="43"/>
    </row>
    <row r="55" spans="8:8">
      <c r="H55" s="43"/>
    </row>
    <row r="56" spans="8:8">
      <c r="H56" s="43"/>
    </row>
    <row r="57" spans="8:8">
      <c r="H57" s="43"/>
    </row>
    <row r="58" spans="8:8">
      <c r="H58" s="43"/>
    </row>
    <row r="59" spans="8:8">
      <c r="H59" s="43"/>
    </row>
    <row r="60" spans="8:8">
      <c r="H60" s="43"/>
    </row>
    <row r="61" spans="8:8">
      <c r="H61" s="43"/>
    </row>
  </sheetData>
  <mergeCells count="63">
    <mergeCell ref="A16:F16"/>
    <mergeCell ref="A1:G1"/>
    <mergeCell ref="A2:G2"/>
    <mergeCell ref="A3:G3"/>
    <mergeCell ref="A5:A11"/>
    <mergeCell ref="A15:D15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38:B38"/>
    <mergeCell ref="C38:D38"/>
    <mergeCell ref="A39:B39"/>
    <mergeCell ref="C39:D39"/>
    <mergeCell ref="A40:B40"/>
    <mergeCell ref="A29:B29"/>
    <mergeCell ref="C29:D29"/>
    <mergeCell ref="A32:F32"/>
    <mergeCell ref="A33:B33"/>
    <mergeCell ref="C33:D33"/>
    <mergeCell ref="A30:D30"/>
    <mergeCell ref="A31:D31"/>
    <mergeCell ref="A47:D47"/>
    <mergeCell ref="A44:B44"/>
    <mergeCell ref="C44:D44"/>
    <mergeCell ref="A45:B45"/>
    <mergeCell ref="C45:D45"/>
    <mergeCell ref="C43:D43"/>
    <mergeCell ref="C40:D40"/>
    <mergeCell ref="A34:B34"/>
    <mergeCell ref="C34:D34"/>
    <mergeCell ref="A46:D46"/>
    <mergeCell ref="A35:B35"/>
    <mergeCell ref="C35:D35"/>
    <mergeCell ref="A36:B36"/>
    <mergeCell ref="C36:D36"/>
    <mergeCell ref="A37:B37"/>
    <mergeCell ref="C37:D37"/>
    <mergeCell ref="A43:B43"/>
    <mergeCell ref="A41:B41"/>
    <mergeCell ref="C41:D41"/>
    <mergeCell ref="A42:B42"/>
    <mergeCell ref="C42:D42"/>
  </mergeCells>
  <printOptions horizontalCentered="1"/>
  <pageMargins left="0.31496062992126" right="0.31496062992126" top="0.55118110236220497" bottom="0.35433070866141703" header="0.31496062992126" footer="0.31496062992126"/>
  <pageSetup scale="91" orientation="portrait" r:id="rId1"/>
  <headerFooter alignWithMargins="0">
    <oddFooter>&amp;L&amp;P
&amp;RSEXTON WEST
April 4, 2025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7DA6-AFEF-4227-80F0-967C2F63BCD4}">
  <sheetPr>
    <tabColor theme="9" tint="0.59999389629810485"/>
    <pageSetUpPr fitToPage="1"/>
  </sheetPr>
  <dimension ref="A3:G59"/>
  <sheetViews>
    <sheetView view="pageBreakPreview" zoomScaleNormal="90" zoomScaleSheetLayoutView="100" workbookViewId="0">
      <selection activeCell="E28" sqref="E28"/>
    </sheetView>
  </sheetViews>
  <sheetFormatPr defaultColWidth="13.765625" defaultRowHeight="15.5"/>
  <cols>
    <col min="1" max="1" width="53.53515625" style="39" bestFit="1" customWidth="1"/>
    <col min="2" max="2" width="12.07421875" style="39" customWidth="1"/>
    <col min="3" max="3" width="11.765625" style="39" customWidth="1"/>
    <col min="4" max="4" width="9" style="34"/>
    <col min="5" max="5" width="45.07421875" style="39" bestFit="1" customWidth="1"/>
    <col min="6" max="6" width="11.07421875" style="123" customWidth="1"/>
    <col min="7" max="7" width="6.765625" style="123" bestFit="1" customWidth="1"/>
    <col min="8" max="8" width="5.23046875" style="39" bestFit="1" customWidth="1"/>
    <col min="9" max="16384" width="13.765625" style="39"/>
  </cols>
  <sheetData>
    <row r="3" spans="1:7" ht="16" thickBot="1"/>
    <row r="4" spans="1:7" ht="33" thickBot="1">
      <c r="A4" s="57" t="s">
        <v>52</v>
      </c>
      <c r="B4" s="259" t="s">
        <v>114</v>
      </c>
      <c r="C4" s="261" t="s">
        <v>115</v>
      </c>
    </row>
    <row r="5" spans="1:7" ht="14.5" thickBot="1">
      <c r="A5" s="202" t="s">
        <v>53</v>
      </c>
      <c r="B5" s="260"/>
      <c r="C5" s="262"/>
      <c r="D5" s="9"/>
    </row>
    <row r="6" spans="1:7">
      <c r="A6" s="203" t="s">
        <v>108</v>
      </c>
      <c r="B6" s="200">
        <v>9.5500000000000007</v>
      </c>
      <c r="C6" s="197">
        <v>8.25</v>
      </c>
      <c r="D6" s="140">
        <f>C6/B6</f>
        <v>0.86387434554973819</v>
      </c>
      <c r="E6" s="124"/>
      <c r="F6" s="125"/>
      <c r="G6" s="125"/>
    </row>
    <row r="7" spans="1:7">
      <c r="A7" s="204" t="s">
        <v>109</v>
      </c>
      <c r="B7" s="201">
        <v>30.200000000000003</v>
      </c>
      <c r="C7" s="198">
        <v>26.1</v>
      </c>
      <c r="D7" s="140">
        <f t="shared" ref="D7:D27" si="0">C7/B7</f>
        <v>0.86423841059602646</v>
      </c>
      <c r="E7" s="126"/>
      <c r="F7" s="125"/>
      <c r="G7" s="125"/>
    </row>
    <row r="8" spans="1:7">
      <c r="A8" s="204" t="s">
        <v>110</v>
      </c>
      <c r="B8" s="201">
        <v>33.15</v>
      </c>
      <c r="C8" s="198">
        <v>28.650000000000002</v>
      </c>
      <c r="D8" s="140">
        <f t="shared" si="0"/>
        <v>0.86425339366515852</v>
      </c>
      <c r="E8" s="126"/>
      <c r="F8" s="125"/>
      <c r="G8" s="125"/>
    </row>
    <row r="9" spans="1:7">
      <c r="A9" s="204" t="s">
        <v>102</v>
      </c>
      <c r="B9" s="201">
        <v>320.10000000000002</v>
      </c>
      <c r="C9" s="198">
        <v>276.90000000000003</v>
      </c>
      <c r="D9" s="140">
        <f t="shared" si="0"/>
        <v>0.86504217432052488</v>
      </c>
      <c r="E9" s="126"/>
      <c r="F9" s="125"/>
      <c r="G9" s="125"/>
    </row>
    <row r="10" spans="1:7">
      <c r="A10" s="204" t="s">
        <v>103</v>
      </c>
      <c r="B10" s="201">
        <v>473.8</v>
      </c>
      <c r="C10" s="198">
        <v>409.85</v>
      </c>
      <c r="D10" s="140">
        <f t="shared" si="0"/>
        <v>0.86502743773744195</v>
      </c>
      <c r="E10" s="126"/>
      <c r="F10" s="125"/>
      <c r="G10" s="125"/>
    </row>
    <row r="11" spans="1:7">
      <c r="A11" s="204" t="s">
        <v>104</v>
      </c>
      <c r="B11" s="201">
        <v>432.5</v>
      </c>
      <c r="C11" s="198">
        <v>374.1</v>
      </c>
      <c r="D11" s="140">
        <f t="shared" si="0"/>
        <v>0.86497109826589602</v>
      </c>
      <c r="E11" s="126"/>
      <c r="F11" s="125"/>
      <c r="G11" s="125"/>
    </row>
    <row r="12" spans="1:7">
      <c r="A12" s="205" t="s">
        <v>106</v>
      </c>
      <c r="B12" s="201">
        <v>7.6000000000000005</v>
      </c>
      <c r="C12" s="198">
        <v>6.5500000000000007</v>
      </c>
      <c r="D12" s="140">
        <f t="shared" si="0"/>
        <v>0.86184210526315796</v>
      </c>
      <c r="E12" s="126"/>
      <c r="F12" s="125"/>
      <c r="G12" s="125"/>
    </row>
    <row r="13" spans="1:7" ht="20" customHeight="1">
      <c r="A13" s="206" t="s">
        <v>121</v>
      </c>
      <c r="B13" s="201"/>
      <c r="C13" s="198"/>
      <c r="D13" s="140"/>
      <c r="E13" s="126"/>
      <c r="F13" s="125"/>
      <c r="G13" s="125"/>
    </row>
    <row r="14" spans="1:7">
      <c r="A14" s="205" t="s">
        <v>122</v>
      </c>
      <c r="B14" s="201">
        <v>65.7</v>
      </c>
      <c r="C14" s="198">
        <v>56.85</v>
      </c>
      <c r="D14" s="140">
        <f t="shared" si="0"/>
        <v>0.86529680365296802</v>
      </c>
      <c r="E14" s="126"/>
      <c r="F14" s="125"/>
      <c r="G14" s="125"/>
    </row>
    <row r="15" spans="1:7">
      <c r="A15" s="204" t="s">
        <v>123</v>
      </c>
      <c r="B15" s="201">
        <v>78.45</v>
      </c>
      <c r="C15" s="198">
        <v>67.850000000000009</v>
      </c>
      <c r="D15" s="140">
        <f t="shared" si="0"/>
        <v>0.86488209050350551</v>
      </c>
      <c r="E15" s="126"/>
      <c r="F15" s="125"/>
      <c r="G15" s="125"/>
    </row>
    <row r="16" spans="1:7">
      <c r="A16" s="204" t="s">
        <v>124</v>
      </c>
      <c r="B16" s="201">
        <v>79.5</v>
      </c>
      <c r="C16" s="198">
        <v>68.75</v>
      </c>
      <c r="D16" s="140">
        <f t="shared" si="0"/>
        <v>0.86477987421383651</v>
      </c>
      <c r="E16" s="127"/>
      <c r="F16" s="125"/>
      <c r="G16" s="125"/>
    </row>
    <row r="17" spans="1:7">
      <c r="A17" s="207" t="s">
        <v>125</v>
      </c>
      <c r="B17" s="201">
        <v>92.75</v>
      </c>
      <c r="C17" s="198">
        <v>80.25</v>
      </c>
      <c r="D17" s="140">
        <f t="shared" si="0"/>
        <v>0.86522911051212936</v>
      </c>
      <c r="E17" s="128"/>
      <c r="F17" s="129"/>
      <c r="G17" s="129"/>
    </row>
    <row r="18" spans="1:7">
      <c r="A18" s="207" t="s">
        <v>126</v>
      </c>
      <c r="B18" s="201">
        <v>79.5</v>
      </c>
      <c r="C18" s="198">
        <v>68.75</v>
      </c>
      <c r="D18" s="140">
        <f t="shared" si="0"/>
        <v>0.86477987421383651</v>
      </c>
      <c r="E18" s="128"/>
      <c r="F18" s="129"/>
      <c r="G18" s="129"/>
    </row>
    <row r="19" spans="1:7">
      <c r="A19" s="207" t="s">
        <v>127</v>
      </c>
      <c r="B19" s="201">
        <v>79.5</v>
      </c>
      <c r="C19" s="198">
        <v>68.75</v>
      </c>
      <c r="D19" s="140">
        <f t="shared" si="0"/>
        <v>0.86477987421383651</v>
      </c>
      <c r="E19" s="127"/>
      <c r="F19" s="129"/>
      <c r="G19" s="129"/>
    </row>
    <row r="20" spans="1:7">
      <c r="A20" s="207" t="s">
        <v>128</v>
      </c>
      <c r="B20" s="201">
        <v>92.5</v>
      </c>
      <c r="C20" s="198">
        <v>80</v>
      </c>
      <c r="D20" s="140">
        <f t="shared" si="0"/>
        <v>0.86486486486486491</v>
      </c>
      <c r="E20" s="127"/>
      <c r="F20" s="129"/>
      <c r="G20" s="129"/>
    </row>
    <row r="21" spans="1:7" ht="18.5" customHeight="1">
      <c r="A21" s="208" t="s">
        <v>133</v>
      </c>
      <c r="B21" s="201"/>
      <c r="C21" s="198"/>
      <c r="D21" s="140"/>
      <c r="E21" s="127"/>
      <c r="F21" s="129"/>
      <c r="G21" s="129"/>
    </row>
    <row r="22" spans="1:7">
      <c r="A22" s="207" t="s">
        <v>129</v>
      </c>
      <c r="B22" s="201">
        <v>9</v>
      </c>
      <c r="C22" s="198">
        <v>7.8000000000000007</v>
      </c>
      <c r="D22" s="140">
        <f t="shared" si="0"/>
        <v>0.8666666666666667</v>
      </c>
      <c r="E22" s="127"/>
      <c r="F22" s="125"/>
      <c r="G22" s="125"/>
    </row>
    <row r="23" spans="1:7">
      <c r="A23" s="207" t="s">
        <v>130</v>
      </c>
      <c r="B23" s="201">
        <v>21.200000000000003</v>
      </c>
      <c r="C23" s="198">
        <v>18.350000000000001</v>
      </c>
      <c r="D23" s="140">
        <f t="shared" si="0"/>
        <v>0.86556603773584906</v>
      </c>
      <c r="E23" s="127"/>
      <c r="F23" s="125"/>
      <c r="G23" s="125"/>
    </row>
    <row r="24" spans="1:7">
      <c r="A24" s="207" t="s">
        <v>131</v>
      </c>
      <c r="B24" s="201">
        <v>21.200000000000003</v>
      </c>
      <c r="C24" s="198">
        <v>18.350000000000001</v>
      </c>
      <c r="D24" s="140">
        <f t="shared" si="0"/>
        <v>0.86556603773584906</v>
      </c>
      <c r="E24" s="127"/>
      <c r="F24" s="125"/>
      <c r="G24" s="125"/>
    </row>
    <row r="25" spans="1:7">
      <c r="A25" s="207" t="s">
        <v>132</v>
      </c>
      <c r="B25" s="201">
        <v>21.200000000000003</v>
      </c>
      <c r="C25" s="198">
        <v>18.350000000000001</v>
      </c>
      <c r="D25" s="140">
        <f t="shared" si="0"/>
        <v>0.86556603773584906</v>
      </c>
      <c r="E25" s="127"/>
      <c r="F25" s="125"/>
      <c r="G25" s="125"/>
    </row>
    <row r="26" spans="1:7">
      <c r="A26" s="204" t="s">
        <v>112</v>
      </c>
      <c r="B26" s="201">
        <v>21.200000000000003</v>
      </c>
      <c r="C26" s="198">
        <v>18.350000000000001</v>
      </c>
      <c r="D26" s="140">
        <f>C26/B26</f>
        <v>0.86556603773584906</v>
      </c>
      <c r="E26" s="127"/>
      <c r="F26" s="125"/>
      <c r="G26" s="125"/>
    </row>
    <row r="27" spans="1:7" ht="15" customHeight="1">
      <c r="A27" s="209" t="s">
        <v>135</v>
      </c>
      <c r="B27" s="201">
        <v>79.5</v>
      </c>
      <c r="C27" s="198">
        <v>68.75</v>
      </c>
      <c r="D27" s="140">
        <f t="shared" si="0"/>
        <v>0.86477987421383651</v>
      </c>
      <c r="E27" s="127"/>
      <c r="F27" s="125"/>
      <c r="G27" s="125"/>
    </row>
    <row r="28" spans="1:7" ht="14.5" thickBot="1">
      <c r="A28" s="210" t="s">
        <v>134</v>
      </c>
      <c r="B28" s="199"/>
      <c r="C28" s="199"/>
      <c r="D28" s="39"/>
      <c r="E28" s="127"/>
      <c r="F28" s="125"/>
      <c r="G28" s="125"/>
    </row>
    <row r="29" spans="1:7">
      <c r="A29" s="54"/>
      <c r="B29" s="55"/>
      <c r="C29" s="56"/>
      <c r="D29" s="43"/>
      <c r="F29" s="39"/>
      <c r="G29" s="39"/>
    </row>
    <row r="30" spans="1:7">
      <c r="D30" s="43"/>
      <c r="F30" s="39"/>
      <c r="G30" s="39"/>
    </row>
    <row r="31" spans="1:7" ht="15.75" customHeight="1">
      <c r="A31" s="39" t="s">
        <v>136</v>
      </c>
      <c r="D31" s="43"/>
      <c r="F31" s="39"/>
      <c r="G31" s="39"/>
    </row>
    <row r="32" spans="1:7" ht="15.75" customHeight="1">
      <c r="D32" s="43"/>
      <c r="F32" s="39"/>
      <c r="G32" s="39"/>
    </row>
    <row r="33" spans="1:7">
      <c r="D33" s="43"/>
      <c r="F33" s="39"/>
      <c r="G33" s="39"/>
    </row>
    <row r="34" spans="1:7">
      <c r="D34" s="43"/>
      <c r="F34" s="39"/>
      <c r="G34" s="39"/>
    </row>
    <row r="35" spans="1:7">
      <c r="D35" s="43"/>
      <c r="F35" s="39"/>
      <c r="G35" s="39"/>
    </row>
    <row r="36" spans="1:7">
      <c r="D36" s="43"/>
      <c r="F36" s="39"/>
      <c r="G36" s="39"/>
    </row>
    <row r="37" spans="1:7">
      <c r="D37" s="43"/>
      <c r="F37" s="39"/>
      <c r="G37" s="39"/>
    </row>
    <row r="38" spans="1:7">
      <c r="A38" s="58"/>
      <c r="B38" s="59"/>
      <c r="D38" s="43"/>
      <c r="F38" s="39"/>
      <c r="G38" s="39"/>
    </row>
    <row r="39" spans="1:7">
      <c r="A39" s="58"/>
      <c r="B39" s="58"/>
      <c r="D39" s="43"/>
      <c r="F39" s="39"/>
      <c r="G39" s="39"/>
    </row>
    <row r="40" spans="1:7">
      <c r="A40" s="65"/>
      <c r="B40" s="65"/>
      <c r="D40" s="43"/>
      <c r="F40" s="39"/>
      <c r="G40" s="39"/>
    </row>
    <row r="41" spans="1:7">
      <c r="D41" s="43"/>
      <c r="F41" s="39"/>
      <c r="G41" s="39"/>
    </row>
    <row r="42" spans="1:7">
      <c r="D42" s="43"/>
      <c r="F42" s="39"/>
      <c r="G42" s="39"/>
    </row>
    <row r="43" spans="1:7">
      <c r="D43" s="43"/>
    </row>
    <row r="44" spans="1:7">
      <c r="D44" s="43"/>
    </row>
    <row r="45" spans="1:7">
      <c r="D45" s="43"/>
    </row>
    <row r="46" spans="1:7">
      <c r="D46" s="43"/>
    </row>
    <row r="47" spans="1:7">
      <c r="D47" s="43"/>
    </row>
    <row r="48" spans="1:7">
      <c r="D48" s="43"/>
    </row>
    <row r="49" spans="4:4">
      <c r="D49" s="43"/>
    </row>
    <row r="50" spans="4:4">
      <c r="D50" s="43"/>
    </row>
    <row r="51" spans="4:4">
      <c r="D51" s="43"/>
    </row>
    <row r="52" spans="4:4">
      <c r="D52" s="43"/>
    </row>
    <row r="53" spans="4:4">
      <c r="D53" s="43"/>
    </row>
    <row r="54" spans="4:4">
      <c r="D54" s="43"/>
    </row>
    <row r="55" spans="4:4">
      <c r="D55" s="43"/>
    </row>
    <row r="56" spans="4:4">
      <c r="D56" s="43"/>
    </row>
    <row r="57" spans="4:4">
      <c r="D57" s="43"/>
    </row>
    <row r="58" spans="4:4">
      <c r="D58" s="43"/>
    </row>
    <row r="59" spans="4:4">
      <c r="D59" s="43"/>
    </row>
  </sheetData>
  <mergeCells count="2">
    <mergeCell ref="B4:B5"/>
    <mergeCell ref="C4:C5"/>
  </mergeCells>
  <printOptions horizontalCentered="1"/>
  <pageMargins left="0.31496062992126" right="0.31496062992126" top="0.55118110236220497" bottom="0.35433070866141703" header="0.31496062992126" footer="0.31496062992126"/>
  <pageSetup orientation="portrait" r:id="rId1"/>
  <headerFooter alignWithMargins="0">
    <oddFooter>&amp;L&amp;P
&amp;RSEXTON WEST
April 4 2025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B9BF-5F79-4185-AF5C-4AB10F0A1353}">
  <sheetPr>
    <tabColor theme="9" tint="0.59999389629810485"/>
    <pageSetUpPr fitToPage="1"/>
  </sheetPr>
  <dimension ref="A2:O59"/>
  <sheetViews>
    <sheetView view="pageBreakPreview" zoomScale="80" zoomScaleNormal="100" zoomScaleSheetLayoutView="80" workbookViewId="0">
      <selection activeCell="B33" sqref="B33"/>
    </sheetView>
  </sheetViews>
  <sheetFormatPr defaultColWidth="8.765625" defaultRowHeight="13"/>
  <cols>
    <col min="1" max="1" width="23.23046875" style="68" customWidth="1"/>
    <col min="2" max="2" width="6.07421875" style="67" customWidth="1"/>
    <col min="3" max="15" width="5.4609375" style="68" customWidth="1"/>
    <col min="16" max="16384" width="8.765625" style="68"/>
  </cols>
  <sheetData>
    <row r="2" spans="1:15" ht="102" customHeight="1">
      <c r="A2" s="66"/>
      <c r="D2" s="274" t="s">
        <v>119</v>
      </c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</row>
    <row r="3" spans="1:15" ht="33" customHeight="1">
      <c r="A3" s="275" t="s">
        <v>118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</row>
    <row r="4" spans="1:15" ht="32.5" customHeight="1" thickBot="1">
      <c r="A4" s="144" t="s">
        <v>61</v>
      </c>
      <c r="B4" s="145"/>
      <c r="C4" s="145" t="s">
        <v>62</v>
      </c>
      <c r="D4" s="145" t="s">
        <v>63</v>
      </c>
      <c r="E4" s="145" t="s">
        <v>64</v>
      </c>
      <c r="F4" s="145" t="s">
        <v>65</v>
      </c>
      <c r="G4" s="145" t="s">
        <v>66</v>
      </c>
      <c r="H4" s="145" t="s">
        <v>67</v>
      </c>
      <c r="I4" s="145" t="s">
        <v>68</v>
      </c>
      <c r="J4" s="145" t="s">
        <v>69</v>
      </c>
      <c r="K4" s="145" t="s">
        <v>70</v>
      </c>
      <c r="L4" s="145" t="s">
        <v>71</v>
      </c>
      <c r="M4" s="145" t="s">
        <v>72</v>
      </c>
      <c r="N4" s="145" t="s">
        <v>73</v>
      </c>
      <c r="O4" s="145" t="s">
        <v>74</v>
      </c>
    </row>
    <row r="5" spans="1:15" ht="20.5" customHeight="1" thickBot="1">
      <c r="A5" s="273" t="s">
        <v>19</v>
      </c>
      <c r="B5" s="146" t="s">
        <v>75</v>
      </c>
      <c r="C5" s="147" t="s">
        <v>76</v>
      </c>
      <c r="D5" s="148" t="s">
        <v>76</v>
      </c>
      <c r="E5" s="149" t="s">
        <v>76</v>
      </c>
      <c r="F5" s="148" t="s">
        <v>76</v>
      </c>
      <c r="G5" s="149" t="s">
        <v>76</v>
      </c>
      <c r="H5" s="148" t="s">
        <v>76</v>
      </c>
      <c r="I5" s="149" t="s">
        <v>76</v>
      </c>
      <c r="J5" s="148" t="s">
        <v>76</v>
      </c>
      <c r="K5" s="149" t="s">
        <v>76</v>
      </c>
      <c r="L5" s="148" t="s">
        <v>76</v>
      </c>
      <c r="M5" s="149" t="s">
        <v>76</v>
      </c>
      <c r="N5" s="148" t="s">
        <v>76</v>
      </c>
      <c r="O5" s="150" t="s">
        <v>76</v>
      </c>
    </row>
    <row r="6" spans="1:15" ht="20.5" customHeight="1" thickBot="1">
      <c r="A6" s="273"/>
      <c r="B6" s="146" t="s">
        <v>77</v>
      </c>
      <c r="C6" s="151"/>
      <c r="D6" s="152"/>
      <c r="E6" s="153" t="s">
        <v>76</v>
      </c>
      <c r="F6" s="154" t="s">
        <v>76</v>
      </c>
      <c r="G6" s="153" t="s">
        <v>76</v>
      </c>
      <c r="H6" s="154" t="s">
        <v>76</v>
      </c>
      <c r="I6" s="153" t="s">
        <v>76</v>
      </c>
      <c r="J6" s="154" t="s">
        <v>76</v>
      </c>
      <c r="K6" s="153" t="s">
        <v>76</v>
      </c>
      <c r="L6" s="154" t="s">
        <v>76</v>
      </c>
      <c r="M6" s="153" t="s">
        <v>76</v>
      </c>
      <c r="N6" s="154" t="s">
        <v>76</v>
      </c>
      <c r="O6" s="155" t="s">
        <v>76</v>
      </c>
    </row>
    <row r="7" spans="1:15" ht="20.5" customHeight="1" thickBot="1">
      <c r="A7" s="273"/>
      <c r="B7" s="146" t="s">
        <v>78</v>
      </c>
      <c r="C7" s="156"/>
      <c r="D7" s="157"/>
      <c r="E7" s="158" t="s">
        <v>76</v>
      </c>
      <c r="F7" s="159" t="s">
        <v>76</v>
      </c>
      <c r="G7" s="158" t="s">
        <v>76</v>
      </c>
      <c r="H7" s="159" t="s">
        <v>76</v>
      </c>
      <c r="I7" s="158" t="s">
        <v>76</v>
      </c>
      <c r="J7" s="159" t="s">
        <v>76</v>
      </c>
      <c r="K7" s="158" t="s">
        <v>76</v>
      </c>
      <c r="L7" s="159" t="s">
        <v>76</v>
      </c>
      <c r="M7" s="158" t="s">
        <v>76</v>
      </c>
      <c r="N7" s="159" t="s">
        <v>76</v>
      </c>
      <c r="O7" s="160" t="s">
        <v>76</v>
      </c>
    </row>
    <row r="8" spans="1:15" ht="20.5" customHeight="1" thickBot="1">
      <c r="A8" s="273" t="s">
        <v>4</v>
      </c>
      <c r="B8" s="146" t="s">
        <v>75</v>
      </c>
      <c r="C8" s="147" t="s">
        <v>76</v>
      </c>
      <c r="D8" s="148" t="s">
        <v>76</v>
      </c>
      <c r="E8" s="149" t="s">
        <v>76</v>
      </c>
      <c r="F8" s="148" t="s">
        <v>76</v>
      </c>
      <c r="G8" s="149" t="s">
        <v>76</v>
      </c>
      <c r="H8" s="148" t="s">
        <v>76</v>
      </c>
      <c r="I8" s="149" t="s">
        <v>76</v>
      </c>
      <c r="J8" s="148" t="s">
        <v>76</v>
      </c>
      <c r="K8" s="149" t="s">
        <v>76</v>
      </c>
      <c r="L8" s="148" t="s">
        <v>76</v>
      </c>
      <c r="M8" s="149" t="s">
        <v>76</v>
      </c>
      <c r="N8" s="148" t="s">
        <v>76</v>
      </c>
      <c r="O8" s="150" t="s">
        <v>76</v>
      </c>
    </row>
    <row r="9" spans="1:15" ht="20.5" customHeight="1" thickBot="1">
      <c r="A9" s="273"/>
      <c r="B9" s="146" t="s">
        <v>77</v>
      </c>
      <c r="C9" s="151"/>
      <c r="D9" s="152"/>
      <c r="E9" s="161"/>
      <c r="F9" s="152"/>
      <c r="G9" s="161"/>
      <c r="H9" s="152"/>
      <c r="I9" s="161"/>
      <c r="J9" s="152"/>
      <c r="K9" s="161"/>
      <c r="L9" s="152"/>
      <c r="M9" s="161"/>
      <c r="N9" s="152"/>
      <c r="O9" s="162"/>
    </row>
    <row r="10" spans="1:15" ht="20.5" customHeight="1" thickBot="1">
      <c r="A10" s="273"/>
      <c r="B10" s="146" t="s">
        <v>78</v>
      </c>
      <c r="C10" s="156"/>
      <c r="D10" s="157"/>
      <c r="E10" s="163"/>
      <c r="F10" s="157"/>
      <c r="G10" s="163"/>
      <c r="H10" s="157"/>
      <c r="I10" s="163"/>
      <c r="J10" s="157"/>
      <c r="K10" s="163"/>
      <c r="L10" s="157"/>
      <c r="M10" s="163"/>
      <c r="N10" s="157"/>
      <c r="O10" s="164"/>
    </row>
    <row r="11" spans="1:15" ht="20.5" customHeight="1" thickBot="1">
      <c r="A11" s="273" t="s">
        <v>7</v>
      </c>
      <c r="B11" s="146" t="s">
        <v>75</v>
      </c>
      <c r="C11" s="165" t="s">
        <v>76</v>
      </c>
      <c r="D11" s="166" t="s">
        <v>76</v>
      </c>
      <c r="E11" s="167" t="s">
        <v>76</v>
      </c>
      <c r="F11" s="166" t="s">
        <v>76</v>
      </c>
      <c r="G11" s="167" t="s">
        <v>76</v>
      </c>
      <c r="H11" s="166" t="s">
        <v>76</v>
      </c>
      <c r="I11" s="167" t="s">
        <v>76</v>
      </c>
      <c r="J11" s="166" t="s">
        <v>76</v>
      </c>
      <c r="K11" s="167" t="s">
        <v>76</v>
      </c>
      <c r="L11" s="166" t="s">
        <v>76</v>
      </c>
      <c r="M11" s="167" t="s">
        <v>76</v>
      </c>
      <c r="N11" s="166" t="s">
        <v>76</v>
      </c>
      <c r="O11" s="168" t="s">
        <v>76</v>
      </c>
    </row>
    <row r="12" spans="1:15" ht="20.5" customHeight="1" thickBot="1">
      <c r="A12" s="273"/>
      <c r="B12" s="146" t="s">
        <v>77</v>
      </c>
      <c r="C12" s="169" t="s">
        <v>76</v>
      </c>
      <c r="D12" s="154" t="s">
        <v>76</v>
      </c>
      <c r="E12" s="153" t="s">
        <v>76</v>
      </c>
      <c r="F12" s="154" t="s">
        <v>76</v>
      </c>
      <c r="G12" s="153" t="s">
        <v>76</v>
      </c>
      <c r="H12" s="154" t="s">
        <v>76</v>
      </c>
      <c r="I12" s="153" t="s">
        <v>76</v>
      </c>
      <c r="J12" s="154" t="s">
        <v>76</v>
      </c>
      <c r="K12" s="153" t="s">
        <v>76</v>
      </c>
      <c r="L12" s="154" t="s">
        <v>76</v>
      </c>
      <c r="M12" s="153" t="s">
        <v>76</v>
      </c>
      <c r="N12" s="154" t="s">
        <v>76</v>
      </c>
      <c r="O12" s="155" t="s">
        <v>76</v>
      </c>
    </row>
    <row r="13" spans="1:15" ht="20.5" customHeight="1" thickBot="1">
      <c r="A13" s="273"/>
      <c r="B13" s="146" t="s">
        <v>78</v>
      </c>
      <c r="C13" s="170"/>
      <c r="D13" s="171"/>
      <c r="E13" s="167" t="s">
        <v>76</v>
      </c>
      <c r="F13" s="166" t="s">
        <v>76</v>
      </c>
      <c r="G13" s="167" t="s">
        <v>76</v>
      </c>
      <c r="H13" s="166" t="s">
        <v>76</v>
      </c>
      <c r="I13" s="167" t="s">
        <v>76</v>
      </c>
      <c r="J13" s="166" t="s">
        <v>76</v>
      </c>
      <c r="K13" s="167" t="s">
        <v>76</v>
      </c>
      <c r="L13" s="166" t="s">
        <v>76</v>
      </c>
      <c r="M13" s="167" t="s">
        <v>76</v>
      </c>
      <c r="N13" s="166" t="s">
        <v>76</v>
      </c>
      <c r="O13" s="168" t="s">
        <v>76</v>
      </c>
    </row>
    <row r="14" spans="1:15" ht="20.5" customHeight="1" thickBot="1">
      <c r="A14" s="276" t="s">
        <v>79</v>
      </c>
      <c r="B14" s="146" t="s">
        <v>75</v>
      </c>
      <c r="C14" s="172" t="s">
        <v>76</v>
      </c>
      <c r="D14" s="173" t="s">
        <v>76</v>
      </c>
      <c r="E14" s="174" t="s">
        <v>76</v>
      </c>
      <c r="F14" s="173" t="s">
        <v>76</v>
      </c>
      <c r="G14" s="174" t="s">
        <v>76</v>
      </c>
      <c r="H14" s="173" t="s">
        <v>76</v>
      </c>
      <c r="I14" s="174" t="s">
        <v>76</v>
      </c>
      <c r="J14" s="173" t="s">
        <v>76</v>
      </c>
      <c r="K14" s="174" t="s">
        <v>76</v>
      </c>
      <c r="L14" s="173" t="s">
        <v>76</v>
      </c>
      <c r="M14" s="174" t="s">
        <v>76</v>
      </c>
      <c r="N14" s="173" t="s">
        <v>76</v>
      </c>
      <c r="O14" s="175" t="s">
        <v>76</v>
      </c>
    </row>
    <row r="15" spans="1:15" ht="20.5" customHeight="1" thickBot="1">
      <c r="A15" s="277"/>
      <c r="B15" s="146" t="s">
        <v>77</v>
      </c>
      <c r="C15" s="169" t="s">
        <v>76</v>
      </c>
      <c r="D15" s="154" t="s">
        <v>76</v>
      </c>
      <c r="E15" s="153" t="s">
        <v>76</v>
      </c>
      <c r="F15" s="154" t="s">
        <v>76</v>
      </c>
      <c r="G15" s="153" t="s">
        <v>76</v>
      </c>
      <c r="H15" s="154" t="s">
        <v>76</v>
      </c>
      <c r="I15" s="153" t="s">
        <v>76</v>
      </c>
      <c r="J15" s="154" t="s">
        <v>76</v>
      </c>
      <c r="K15" s="153" t="s">
        <v>76</v>
      </c>
      <c r="L15" s="154" t="s">
        <v>76</v>
      </c>
      <c r="M15" s="153" t="s">
        <v>76</v>
      </c>
      <c r="N15" s="154" t="s">
        <v>76</v>
      </c>
      <c r="O15" s="155" t="s">
        <v>76</v>
      </c>
    </row>
    <row r="16" spans="1:15" ht="20.5" customHeight="1" thickBot="1">
      <c r="A16" s="278"/>
      <c r="B16" s="146" t="s">
        <v>78</v>
      </c>
      <c r="C16" s="156"/>
      <c r="D16" s="157"/>
      <c r="E16" s="158" t="s">
        <v>76</v>
      </c>
      <c r="F16" s="176" t="s">
        <v>76</v>
      </c>
      <c r="G16" s="158" t="s">
        <v>76</v>
      </c>
      <c r="H16" s="159" t="s">
        <v>76</v>
      </c>
      <c r="I16" s="158" t="s">
        <v>76</v>
      </c>
      <c r="J16" s="159" t="s">
        <v>76</v>
      </c>
      <c r="K16" s="158" t="s">
        <v>76</v>
      </c>
      <c r="L16" s="159" t="s">
        <v>76</v>
      </c>
      <c r="M16" s="158" t="s">
        <v>76</v>
      </c>
      <c r="N16" s="159" t="s">
        <v>76</v>
      </c>
      <c r="O16" s="160" t="s">
        <v>76</v>
      </c>
    </row>
    <row r="17" spans="1:15" ht="20.5" customHeight="1" thickBot="1">
      <c r="A17" s="273" t="s">
        <v>15</v>
      </c>
      <c r="B17" s="146" t="s">
        <v>75</v>
      </c>
      <c r="C17" s="147" t="s">
        <v>76</v>
      </c>
      <c r="D17" s="148" t="s">
        <v>76</v>
      </c>
      <c r="E17" s="149" t="s">
        <v>76</v>
      </c>
      <c r="F17" s="148" t="s">
        <v>76</v>
      </c>
      <c r="G17" s="149" t="s">
        <v>76</v>
      </c>
      <c r="H17" s="148" t="s">
        <v>76</v>
      </c>
      <c r="I17" s="149" t="s">
        <v>76</v>
      </c>
      <c r="J17" s="148" t="s">
        <v>76</v>
      </c>
      <c r="K17" s="149" t="s">
        <v>76</v>
      </c>
      <c r="L17" s="148" t="s">
        <v>76</v>
      </c>
      <c r="M17" s="149" t="s">
        <v>76</v>
      </c>
      <c r="N17" s="148" t="s">
        <v>76</v>
      </c>
      <c r="O17" s="150" t="s">
        <v>76</v>
      </c>
    </row>
    <row r="18" spans="1:15" ht="20.5" customHeight="1" thickBot="1">
      <c r="A18" s="273"/>
      <c r="B18" s="146" t="s">
        <v>77</v>
      </c>
      <c r="C18" s="169" t="s">
        <v>76</v>
      </c>
      <c r="D18" s="154" t="s">
        <v>76</v>
      </c>
      <c r="E18" s="153" t="s">
        <v>76</v>
      </c>
      <c r="F18" s="154" t="s">
        <v>76</v>
      </c>
      <c r="G18" s="153" t="s">
        <v>76</v>
      </c>
      <c r="H18" s="154" t="s">
        <v>76</v>
      </c>
      <c r="I18" s="153" t="s">
        <v>76</v>
      </c>
      <c r="J18" s="154" t="s">
        <v>76</v>
      </c>
      <c r="K18" s="153" t="s">
        <v>76</v>
      </c>
      <c r="L18" s="154" t="s">
        <v>76</v>
      </c>
      <c r="M18" s="153" t="s">
        <v>76</v>
      </c>
      <c r="N18" s="154" t="s">
        <v>76</v>
      </c>
      <c r="O18" s="155" t="s">
        <v>76</v>
      </c>
    </row>
    <row r="19" spans="1:15" ht="20.5" customHeight="1" thickBot="1">
      <c r="A19" s="273"/>
      <c r="B19" s="146" t="s">
        <v>78</v>
      </c>
      <c r="C19" s="156"/>
      <c r="D19" s="157"/>
      <c r="E19" s="158" t="s">
        <v>76</v>
      </c>
      <c r="F19" s="159" t="s">
        <v>76</v>
      </c>
      <c r="G19" s="158" t="s">
        <v>76</v>
      </c>
      <c r="H19" s="159" t="s">
        <v>76</v>
      </c>
      <c r="I19" s="158" t="s">
        <v>76</v>
      </c>
      <c r="J19" s="159" t="s">
        <v>76</v>
      </c>
      <c r="K19" s="158" t="s">
        <v>76</v>
      </c>
      <c r="L19" s="159" t="s">
        <v>76</v>
      </c>
      <c r="M19" s="158" t="s">
        <v>76</v>
      </c>
      <c r="N19" s="159" t="s">
        <v>76</v>
      </c>
      <c r="O19" s="160" t="s">
        <v>76</v>
      </c>
    </row>
    <row r="20" spans="1:15" ht="20.5" customHeight="1" thickBot="1">
      <c r="A20" s="279" t="s">
        <v>16</v>
      </c>
      <c r="B20" s="146" t="s">
        <v>75</v>
      </c>
      <c r="C20" s="177" t="s">
        <v>76</v>
      </c>
      <c r="D20" s="178" t="s">
        <v>76</v>
      </c>
      <c r="E20" s="179" t="s">
        <v>76</v>
      </c>
      <c r="F20" s="178" t="s">
        <v>76</v>
      </c>
      <c r="G20" s="180" t="s">
        <v>76</v>
      </c>
      <c r="H20" s="178" t="s">
        <v>76</v>
      </c>
      <c r="I20" s="179" t="s">
        <v>76</v>
      </c>
      <c r="J20" s="181" t="s">
        <v>76</v>
      </c>
      <c r="K20" s="179" t="s">
        <v>76</v>
      </c>
      <c r="L20" s="181" t="s">
        <v>76</v>
      </c>
      <c r="M20" s="179" t="s">
        <v>76</v>
      </c>
      <c r="N20" s="181" t="s">
        <v>76</v>
      </c>
      <c r="O20" s="182" t="s">
        <v>76</v>
      </c>
    </row>
    <row r="21" spans="1:15" ht="20.5" customHeight="1" thickBot="1">
      <c r="A21" s="280"/>
      <c r="B21" s="146" t="s">
        <v>77</v>
      </c>
      <c r="C21" s="183" t="s">
        <v>76</v>
      </c>
      <c r="D21" s="184" t="s">
        <v>76</v>
      </c>
      <c r="E21" s="185" t="s">
        <v>76</v>
      </c>
      <c r="F21" s="184" t="s">
        <v>76</v>
      </c>
      <c r="G21" s="186" t="s">
        <v>76</v>
      </c>
      <c r="H21" s="184" t="s">
        <v>76</v>
      </c>
      <c r="I21" s="185" t="s">
        <v>76</v>
      </c>
      <c r="J21" s="187" t="s">
        <v>76</v>
      </c>
      <c r="K21" s="185" t="s">
        <v>76</v>
      </c>
      <c r="L21" s="187" t="s">
        <v>76</v>
      </c>
      <c r="M21" s="185" t="s">
        <v>76</v>
      </c>
      <c r="N21" s="187" t="s">
        <v>76</v>
      </c>
      <c r="O21" s="188" t="s">
        <v>76</v>
      </c>
    </row>
    <row r="22" spans="1:15" ht="20.5" customHeight="1" thickBot="1">
      <c r="A22" s="281"/>
      <c r="B22" s="146" t="s">
        <v>78</v>
      </c>
      <c r="C22" s="156"/>
      <c r="D22" s="157"/>
      <c r="E22" s="163"/>
      <c r="F22" s="157"/>
      <c r="G22" s="163"/>
      <c r="H22" s="157"/>
      <c r="I22" s="163"/>
      <c r="J22" s="157"/>
      <c r="K22" s="163"/>
      <c r="L22" s="157"/>
      <c r="M22" s="163"/>
      <c r="N22" s="157"/>
      <c r="O22" s="164"/>
    </row>
    <row r="23" spans="1:15" ht="20.5" customHeight="1" thickBot="1">
      <c r="A23" s="279" t="s">
        <v>17</v>
      </c>
      <c r="B23" s="146" t="s">
        <v>75</v>
      </c>
      <c r="C23" s="147" t="s">
        <v>76</v>
      </c>
      <c r="D23" s="148" t="s">
        <v>76</v>
      </c>
      <c r="E23" s="149" t="s">
        <v>76</v>
      </c>
      <c r="F23" s="148" t="s">
        <v>76</v>
      </c>
      <c r="G23" s="149" t="s">
        <v>76</v>
      </c>
      <c r="H23" s="148" t="s">
        <v>76</v>
      </c>
      <c r="I23" s="149" t="s">
        <v>76</v>
      </c>
      <c r="J23" s="148" t="s">
        <v>76</v>
      </c>
      <c r="K23" s="149" t="s">
        <v>76</v>
      </c>
      <c r="L23" s="148" t="s">
        <v>76</v>
      </c>
      <c r="M23" s="149" t="s">
        <v>76</v>
      </c>
      <c r="N23" s="148" t="s">
        <v>76</v>
      </c>
      <c r="O23" s="150" t="s">
        <v>76</v>
      </c>
    </row>
    <row r="24" spans="1:15" ht="20.5" customHeight="1" thickBot="1">
      <c r="A24" s="280"/>
      <c r="B24" s="146" t="s">
        <v>77</v>
      </c>
      <c r="C24" s="169" t="s">
        <v>76</v>
      </c>
      <c r="D24" s="154" t="s">
        <v>76</v>
      </c>
      <c r="E24" s="153" t="s">
        <v>76</v>
      </c>
      <c r="F24" s="154" t="s">
        <v>76</v>
      </c>
      <c r="G24" s="153" t="s">
        <v>76</v>
      </c>
      <c r="H24" s="154" t="s">
        <v>76</v>
      </c>
      <c r="I24" s="153" t="s">
        <v>76</v>
      </c>
      <c r="J24" s="154" t="s">
        <v>76</v>
      </c>
      <c r="K24" s="153" t="s">
        <v>76</v>
      </c>
      <c r="L24" s="154" t="s">
        <v>76</v>
      </c>
      <c r="M24" s="153" t="s">
        <v>76</v>
      </c>
      <c r="N24" s="154" t="s">
        <v>76</v>
      </c>
      <c r="O24" s="155" t="s">
        <v>76</v>
      </c>
    </row>
    <row r="25" spans="1:15" ht="20.5" customHeight="1" thickBot="1">
      <c r="A25" s="281"/>
      <c r="B25" s="146" t="s">
        <v>78</v>
      </c>
      <c r="C25" s="156"/>
      <c r="D25" s="157"/>
      <c r="E25" s="158" t="s">
        <v>76</v>
      </c>
      <c r="F25" s="159" t="s">
        <v>76</v>
      </c>
      <c r="G25" s="158" t="s">
        <v>76</v>
      </c>
      <c r="H25" s="159" t="s">
        <v>76</v>
      </c>
      <c r="I25" s="158" t="s">
        <v>76</v>
      </c>
      <c r="J25" s="159" t="s">
        <v>76</v>
      </c>
      <c r="K25" s="158" t="s">
        <v>76</v>
      </c>
      <c r="L25" s="159" t="s">
        <v>76</v>
      </c>
      <c r="M25" s="158" t="s">
        <v>76</v>
      </c>
      <c r="N25" s="159" t="s">
        <v>76</v>
      </c>
      <c r="O25" s="160" t="s">
        <v>76</v>
      </c>
    </row>
    <row r="26" spans="1:15" ht="20.5" customHeight="1" thickBot="1">
      <c r="A26" s="273" t="s">
        <v>18</v>
      </c>
      <c r="B26" s="146" t="s">
        <v>75</v>
      </c>
      <c r="C26" s="147" t="s">
        <v>76</v>
      </c>
      <c r="D26" s="148" t="s">
        <v>76</v>
      </c>
      <c r="E26" s="149" t="s">
        <v>76</v>
      </c>
      <c r="F26" s="148" t="s">
        <v>76</v>
      </c>
      <c r="G26" s="149" t="s">
        <v>76</v>
      </c>
      <c r="H26" s="148" t="s">
        <v>76</v>
      </c>
      <c r="I26" s="149" t="s">
        <v>76</v>
      </c>
      <c r="J26" s="148" t="s">
        <v>76</v>
      </c>
      <c r="K26" s="149" t="s">
        <v>76</v>
      </c>
      <c r="L26" s="148" t="s">
        <v>76</v>
      </c>
      <c r="M26" s="149" t="s">
        <v>76</v>
      </c>
      <c r="N26" s="148" t="s">
        <v>76</v>
      </c>
      <c r="O26" s="150" t="s">
        <v>76</v>
      </c>
    </row>
    <row r="27" spans="1:15" ht="20.5" customHeight="1" thickBot="1">
      <c r="A27" s="273"/>
      <c r="B27" s="146" t="s">
        <v>77</v>
      </c>
      <c r="C27" s="189" t="s">
        <v>76</v>
      </c>
      <c r="D27" s="190" t="s">
        <v>76</v>
      </c>
      <c r="E27" s="191" t="s">
        <v>76</v>
      </c>
      <c r="F27" s="190" t="s">
        <v>76</v>
      </c>
      <c r="G27" s="191" t="s">
        <v>76</v>
      </c>
      <c r="H27" s="190" t="s">
        <v>76</v>
      </c>
      <c r="I27" s="191" t="s">
        <v>76</v>
      </c>
      <c r="J27" s="190" t="s">
        <v>76</v>
      </c>
      <c r="K27" s="191" t="s">
        <v>76</v>
      </c>
      <c r="L27" s="190" t="s">
        <v>76</v>
      </c>
      <c r="M27" s="191" t="s">
        <v>76</v>
      </c>
      <c r="N27" s="190" t="s">
        <v>76</v>
      </c>
      <c r="O27" s="192" t="s">
        <v>76</v>
      </c>
    </row>
    <row r="28" spans="1:15" ht="20.5" customHeight="1" thickBot="1">
      <c r="A28" s="273"/>
      <c r="B28" s="146" t="s">
        <v>78</v>
      </c>
      <c r="C28" s="156"/>
      <c r="D28" s="157"/>
      <c r="E28" s="158" t="s">
        <v>76</v>
      </c>
      <c r="F28" s="159" t="s">
        <v>76</v>
      </c>
      <c r="G28" s="158" t="s">
        <v>76</v>
      </c>
      <c r="H28" s="159" t="s">
        <v>76</v>
      </c>
      <c r="I28" s="158" t="s">
        <v>76</v>
      </c>
      <c r="J28" s="159" t="s">
        <v>76</v>
      </c>
      <c r="K28" s="158" t="s">
        <v>76</v>
      </c>
      <c r="L28" s="159" t="s">
        <v>76</v>
      </c>
      <c r="M28" s="158" t="s">
        <v>76</v>
      </c>
      <c r="N28" s="159" t="s">
        <v>76</v>
      </c>
      <c r="O28" s="160" t="s">
        <v>76</v>
      </c>
    </row>
    <row r="29" spans="1:15" ht="20.5" customHeight="1" thickBot="1">
      <c r="A29" s="273" t="s">
        <v>80</v>
      </c>
      <c r="B29" s="146" t="s">
        <v>75</v>
      </c>
      <c r="C29" s="147" t="s">
        <v>76</v>
      </c>
      <c r="D29" s="148" t="s">
        <v>76</v>
      </c>
      <c r="E29" s="149" t="s">
        <v>76</v>
      </c>
      <c r="F29" s="148" t="s">
        <v>76</v>
      </c>
      <c r="G29" s="149" t="s">
        <v>76</v>
      </c>
      <c r="H29" s="148" t="s">
        <v>76</v>
      </c>
      <c r="I29" s="149" t="s">
        <v>76</v>
      </c>
      <c r="J29" s="148" t="s">
        <v>76</v>
      </c>
      <c r="K29" s="149" t="s">
        <v>76</v>
      </c>
      <c r="L29" s="148" t="s">
        <v>76</v>
      </c>
      <c r="M29" s="149" t="s">
        <v>76</v>
      </c>
      <c r="N29" s="148" t="s">
        <v>76</v>
      </c>
      <c r="O29" s="150" t="s">
        <v>76</v>
      </c>
    </row>
    <row r="30" spans="1:15" ht="20.5" customHeight="1" thickBot="1">
      <c r="A30" s="273"/>
      <c r="B30" s="146" t="s">
        <v>77</v>
      </c>
      <c r="C30" s="151"/>
      <c r="D30" s="152"/>
      <c r="E30" s="153" t="s">
        <v>76</v>
      </c>
      <c r="F30" s="154" t="s">
        <v>76</v>
      </c>
      <c r="G30" s="153" t="s">
        <v>76</v>
      </c>
      <c r="H30" s="154" t="s">
        <v>76</v>
      </c>
      <c r="I30" s="153" t="s">
        <v>76</v>
      </c>
      <c r="J30" s="154" t="s">
        <v>76</v>
      </c>
      <c r="K30" s="153" t="s">
        <v>76</v>
      </c>
      <c r="L30" s="154" t="s">
        <v>76</v>
      </c>
      <c r="M30" s="153" t="s">
        <v>76</v>
      </c>
      <c r="N30" s="154" t="s">
        <v>76</v>
      </c>
      <c r="O30" s="155" t="s">
        <v>76</v>
      </c>
    </row>
    <row r="31" spans="1:15" ht="20.5" customHeight="1" thickBot="1">
      <c r="A31" s="273"/>
      <c r="B31" s="146" t="s">
        <v>78</v>
      </c>
      <c r="C31" s="156"/>
      <c r="D31" s="157"/>
      <c r="E31" s="158" t="s">
        <v>76</v>
      </c>
      <c r="F31" s="159" t="s">
        <v>76</v>
      </c>
      <c r="G31" s="158" t="s">
        <v>76</v>
      </c>
      <c r="H31" s="159" t="s">
        <v>76</v>
      </c>
      <c r="I31" s="158" t="s">
        <v>76</v>
      </c>
      <c r="J31" s="159" t="s">
        <v>76</v>
      </c>
      <c r="K31" s="158" t="s">
        <v>76</v>
      </c>
      <c r="L31" s="159" t="s">
        <v>76</v>
      </c>
      <c r="M31" s="158" t="s">
        <v>76</v>
      </c>
      <c r="N31" s="159" t="s">
        <v>76</v>
      </c>
      <c r="O31" s="160" t="s">
        <v>76</v>
      </c>
    </row>
    <row r="32" spans="1:15" ht="20.5" customHeight="1" thickBot="1">
      <c r="A32" s="273" t="s">
        <v>81</v>
      </c>
      <c r="B32" s="146" t="s">
        <v>75</v>
      </c>
      <c r="C32" s="147" t="s">
        <v>76</v>
      </c>
      <c r="D32" s="148" t="s">
        <v>76</v>
      </c>
      <c r="E32" s="149" t="s">
        <v>76</v>
      </c>
      <c r="F32" s="148" t="s">
        <v>76</v>
      </c>
      <c r="G32" s="149" t="s">
        <v>76</v>
      </c>
      <c r="H32" s="148" t="s">
        <v>76</v>
      </c>
      <c r="I32" s="149" t="s">
        <v>76</v>
      </c>
      <c r="J32" s="148" t="s">
        <v>76</v>
      </c>
      <c r="K32" s="149" t="s">
        <v>76</v>
      </c>
      <c r="L32" s="148" t="s">
        <v>76</v>
      </c>
      <c r="M32" s="149" t="s">
        <v>76</v>
      </c>
      <c r="N32" s="148" t="s">
        <v>76</v>
      </c>
      <c r="O32" s="150" t="s">
        <v>76</v>
      </c>
    </row>
    <row r="33" spans="1:15" ht="20.5" customHeight="1" thickBot="1">
      <c r="A33" s="273"/>
      <c r="B33" s="146" t="s">
        <v>77</v>
      </c>
      <c r="C33" s="151"/>
      <c r="D33" s="152"/>
      <c r="E33" s="161"/>
      <c r="F33" s="154" t="s">
        <v>76</v>
      </c>
      <c r="G33" s="153" t="s">
        <v>76</v>
      </c>
      <c r="H33" s="154" t="s">
        <v>76</v>
      </c>
      <c r="I33" s="153" t="s">
        <v>76</v>
      </c>
      <c r="J33" s="154" t="s">
        <v>76</v>
      </c>
      <c r="K33" s="153" t="s">
        <v>76</v>
      </c>
      <c r="L33" s="154" t="s">
        <v>76</v>
      </c>
      <c r="M33" s="153" t="s">
        <v>76</v>
      </c>
      <c r="N33" s="154" t="s">
        <v>76</v>
      </c>
      <c r="O33" s="155" t="s">
        <v>76</v>
      </c>
    </row>
    <row r="34" spans="1:15" ht="20.5" customHeight="1" thickBot="1">
      <c r="A34" s="273"/>
      <c r="B34" s="146" t="s">
        <v>78</v>
      </c>
      <c r="C34" s="156"/>
      <c r="D34" s="157"/>
      <c r="E34" s="158" t="s">
        <v>76</v>
      </c>
      <c r="F34" s="159" t="s">
        <v>76</v>
      </c>
      <c r="G34" s="158" t="s">
        <v>76</v>
      </c>
      <c r="H34" s="159" t="s">
        <v>76</v>
      </c>
      <c r="I34" s="158" t="s">
        <v>76</v>
      </c>
      <c r="J34" s="159" t="s">
        <v>76</v>
      </c>
      <c r="K34" s="158" t="s">
        <v>76</v>
      </c>
      <c r="L34" s="159" t="s">
        <v>76</v>
      </c>
      <c r="M34" s="158" t="s">
        <v>76</v>
      </c>
      <c r="N34" s="159" t="s">
        <v>76</v>
      </c>
      <c r="O34" s="160" t="s">
        <v>76</v>
      </c>
    </row>
    <row r="35" spans="1:15" ht="15.75" customHeight="1">
      <c r="A35" s="193"/>
      <c r="B35" s="194"/>
      <c r="C35" s="267" t="s">
        <v>82</v>
      </c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</row>
    <row r="36" spans="1:15" ht="15.75" customHeight="1" thickBot="1">
      <c r="A36" s="195"/>
      <c r="B36" s="196" t="s">
        <v>83</v>
      </c>
      <c r="C36" s="270" t="s">
        <v>84</v>
      </c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2"/>
    </row>
    <row r="37" spans="1:15" ht="15.75" customHeight="1">
      <c r="C37" s="106"/>
      <c r="D37" s="107"/>
      <c r="E37" s="108"/>
      <c r="M37" s="109"/>
      <c r="N37" s="107"/>
      <c r="O37" s="107"/>
    </row>
    <row r="38" spans="1:15" ht="15.75" customHeight="1">
      <c r="C38" s="106"/>
      <c r="D38" s="107"/>
      <c r="E38" s="108"/>
    </row>
    <row r="39" spans="1:15" ht="15.75" customHeight="1">
      <c r="C39" s="106"/>
      <c r="D39" s="107"/>
      <c r="E39" s="108"/>
      <c r="M39" s="131"/>
    </row>
    <row r="40" spans="1:15" ht="15.75" customHeight="1">
      <c r="C40" s="106"/>
      <c r="D40" s="107"/>
      <c r="E40" s="108"/>
    </row>
    <row r="41" spans="1:15" ht="18" hidden="1" customHeight="1">
      <c r="C41" s="108" t="s">
        <v>85</v>
      </c>
    </row>
    <row r="42" spans="1:15" ht="18" hidden="1" customHeight="1">
      <c r="C42" s="108"/>
    </row>
    <row r="43" spans="1:15" ht="18" hidden="1" customHeight="1">
      <c r="A43" s="110">
        <v>43174</v>
      </c>
      <c r="C43" s="111" t="s">
        <v>86</v>
      </c>
    </row>
    <row r="44" spans="1:15" ht="18" hidden="1" customHeight="1">
      <c r="A44" s="110">
        <v>43047</v>
      </c>
      <c r="C44" s="111" t="s">
        <v>87</v>
      </c>
    </row>
    <row r="45" spans="1:15" ht="18" hidden="1" customHeight="1">
      <c r="A45" s="110">
        <v>42480</v>
      </c>
      <c r="C45" s="111" t="s">
        <v>88</v>
      </c>
    </row>
    <row r="46" spans="1:15" ht="18" hidden="1" customHeight="1">
      <c r="A46" s="110">
        <v>42480</v>
      </c>
      <c r="C46" s="111" t="s">
        <v>89</v>
      </c>
    </row>
    <row r="47" spans="1:15" ht="18" hidden="1" customHeight="1">
      <c r="A47" s="110">
        <v>42376</v>
      </c>
      <c r="C47" s="111" t="s">
        <v>90</v>
      </c>
    </row>
    <row r="48" spans="1:15" ht="25.5" hidden="1" customHeight="1">
      <c r="A48" s="263">
        <v>41593</v>
      </c>
      <c r="B48" s="264"/>
      <c r="C48" s="265" t="s">
        <v>91</v>
      </c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</row>
    <row r="49" spans="1:15" ht="18" hidden="1" customHeight="1">
      <c r="A49" s="263">
        <v>41240</v>
      </c>
      <c r="B49" s="264"/>
      <c r="C49" s="265" t="s">
        <v>92</v>
      </c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</row>
    <row r="50" spans="1:15" ht="28.5" hidden="1" customHeight="1">
      <c r="A50" s="263">
        <v>41240</v>
      </c>
      <c r="B50" s="264"/>
      <c r="C50" s="265" t="s">
        <v>93</v>
      </c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</row>
    <row r="51" spans="1:15" ht="18" hidden="1" customHeight="1">
      <c r="A51" s="263">
        <v>41240</v>
      </c>
      <c r="B51" s="264"/>
      <c r="C51" s="265" t="s">
        <v>94</v>
      </c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</row>
    <row r="52" spans="1:15" ht="18" hidden="1" customHeight="1">
      <c r="A52" s="263">
        <v>41240</v>
      </c>
      <c r="B52" s="264"/>
      <c r="C52" s="265" t="s">
        <v>95</v>
      </c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</row>
    <row r="53" spans="1:15" ht="18" hidden="1" customHeight="1">
      <c r="A53" s="263">
        <v>41240</v>
      </c>
      <c r="B53" s="264"/>
      <c r="C53" s="265" t="s">
        <v>96</v>
      </c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</row>
    <row r="54" spans="1:15" ht="18" hidden="1" customHeight="1">
      <c r="A54" s="263">
        <v>41240</v>
      </c>
      <c r="B54" s="264"/>
      <c r="C54" s="265" t="s">
        <v>97</v>
      </c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</row>
    <row r="55" spans="1:15" ht="18" hidden="1" customHeight="1">
      <c r="A55" s="263">
        <v>41240</v>
      </c>
      <c r="B55" s="264"/>
      <c r="C55" s="265" t="s">
        <v>98</v>
      </c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</row>
    <row r="56" spans="1:15" hidden="1"/>
    <row r="57" spans="1:15" hidden="1"/>
    <row r="58" spans="1:15" hidden="1"/>
    <row r="59" spans="1:15" hidden="1"/>
  </sheetData>
  <mergeCells count="30">
    <mergeCell ref="A32:A34"/>
    <mergeCell ref="D2:O2"/>
    <mergeCell ref="A3:O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C35:O35"/>
    <mergeCell ref="C36:O36"/>
    <mergeCell ref="A48:B48"/>
    <mergeCell ref="C48:O48"/>
    <mergeCell ref="A49:B49"/>
    <mergeCell ref="C49:O49"/>
    <mergeCell ref="A50:B50"/>
    <mergeCell ref="C50:O50"/>
    <mergeCell ref="A51:B51"/>
    <mergeCell ref="C51:O51"/>
    <mergeCell ref="A52:B52"/>
    <mergeCell ref="C52:O52"/>
    <mergeCell ref="A53:B53"/>
    <mergeCell ref="C53:O53"/>
    <mergeCell ref="A54:B54"/>
    <mergeCell ref="C54:O54"/>
    <mergeCell ref="A55:B55"/>
    <mergeCell ref="C55:O55"/>
  </mergeCells>
  <printOptions horizontalCentered="1"/>
  <pageMargins left="0.23622047244094499" right="0.23622047244094499" top="0.55118110236220497" bottom="0" header="0.31496062992126" footer="0.118110236220472"/>
  <pageSetup scale="87" orientation="portrait" r:id="rId1"/>
  <headerFooter>
    <oddFooter>&amp;L&amp;P&amp;RApril 4, 2025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8696-DA07-431C-8BE0-AED5D86FD643}">
  <sheetPr>
    <tabColor theme="9" tint="0.59999389629810485"/>
    <pageSetUpPr fitToPage="1"/>
  </sheetPr>
  <dimension ref="A1:O59"/>
  <sheetViews>
    <sheetView view="pageBreakPreview" zoomScale="90" zoomScaleNormal="100" zoomScaleSheetLayoutView="90" workbookViewId="0">
      <selection activeCell="B33" sqref="B33"/>
    </sheetView>
  </sheetViews>
  <sheetFormatPr defaultColWidth="8.765625" defaultRowHeight="15.5"/>
  <cols>
    <col min="1" max="1" width="3.3046875" style="3" customWidth="1"/>
    <col min="2" max="2" width="13.765625" style="3" customWidth="1"/>
    <col min="3" max="3" width="4.765625" style="3" customWidth="1"/>
    <col min="4" max="13" width="5" style="3" customWidth="1"/>
    <col min="14" max="14" width="8.765625" style="3" hidden="1" customWidth="1"/>
    <col min="15" max="15" width="3.765625" style="3" customWidth="1"/>
    <col min="16" max="16384" width="8.765625" style="3"/>
  </cols>
  <sheetData>
    <row r="1" spans="1:15" s="68" customFormat="1" ht="13">
      <c r="C1" s="67"/>
    </row>
    <row r="2" spans="1:15" s="68" customFormat="1" ht="50.65" customHeight="1">
      <c r="B2" s="66"/>
      <c r="C2" s="67"/>
      <c r="D2" s="289" t="s">
        <v>99</v>
      </c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5" ht="48" customHeight="1">
      <c r="A3" s="291" t="s">
        <v>120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</row>
    <row r="4" spans="1:15" ht="15" customHeight="1" thickBot="1">
      <c r="A4" s="68"/>
      <c r="B4" s="69" t="s">
        <v>61</v>
      </c>
      <c r="C4" s="67"/>
      <c r="D4" s="67" t="s">
        <v>65</v>
      </c>
      <c r="E4" s="67" t="s">
        <v>66</v>
      </c>
      <c r="F4" s="67" t="s">
        <v>67</v>
      </c>
      <c r="G4" s="67" t="s">
        <v>68</v>
      </c>
      <c r="H4" s="67" t="s">
        <v>69</v>
      </c>
      <c r="I4" s="67" t="s">
        <v>70</v>
      </c>
      <c r="J4" s="67" t="s">
        <v>71</v>
      </c>
      <c r="K4" s="67" t="s">
        <v>72</v>
      </c>
      <c r="L4" s="67" t="s">
        <v>73</v>
      </c>
      <c r="M4" s="67" t="s">
        <v>74</v>
      </c>
      <c r="N4" s="68"/>
      <c r="O4" s="68"/>
    </row>
    <row r="5" spans="1:15" s="68" customFormat="1" ht="15" customHeight="1" thickBot="1">
      <c r="B5" s="288" t="s">
        <v>19</v>
      </c>
      <c r="C5" s="112" t="s">
        <v>100</v>
      </c>
      <c r="D5" s="113"/>
      <c r="E5" s="114"/>
      <c r="F5" s="113"/>
      <c r="G5" s="71" t="s">
        <v>76</v>
      </c>
      <c r="H5" s="70" t="s">
        <v>76</v>
      </c>
      <c r="I5" s="71" t="s">
        <v>76</v>
      </c>
      <c r="J5" s="70" t="s">
        <v>76</v>
      </c>
      <c r="K5" s="71" t="s">
        <v>76</v>
      </c>
      <c r="L5" s="70" t="s">
        <v>76</v>
      </c>
      <c r="M5" s="72" t="s">
        <v>76</v>
      </c>
    </row>
    <row r="6" spans="1:15" s="68" customFormat="1" ht="15" customHeight="1" thickBot="1">
      <c r="B6" s="288"/>
      <c r="C6" s="112" t="s">
        <v>77</v>
      </c>
      <c r="D6" s="73"/>
      <c r="E6" s="115"/>
      <c r="F6" s="73"/>
      <c r="G6" s="74" t="s">
        <v>76</v>
      </c>
      <c r="H6" s="75" t="s">
        <v>76</v>
      </c>
      <c r="I6" s="74" t="s">
        <v>76</v>
      </c>
      <c r="J6" s="75" t="s">
        <v>76</v>
      </c>
      <c r="K6" s="74" t="s">
        <v>76</v>
      </c>
      <c r="L6" s="75" t="s">
        <v>76</v>
      </c>
      <c r="M6" s="76" t="s">
        <v>76</v>
      </c>
    </row>
    <row r="7" spans="1:15" s="68" customFormat="1" ht="15" customHeight="1" thickBot="1">
      <c r="B7" s="288"/>
      <c r="C7" s="112" t="s">
        <v>78</v>
      </c>
      <c r="D7" s="77"/>
      <c r="E7" s="102"/>
      <c r="F7" s="77"/>
      <c r="G7" s="102"/>
      <c r="H7" s="77"/>
      <c r="I7" s="102"/>
      <c r="J7" s="77"/>
      <c r="K7" s="102"/>
      <c r="L7" s="77"/>
      <c r="M7" s="103"/>
    </row>
    <row r="8" spans="1:15" ht="15" customHeight="1" thickBot="1">
      <c r="A8" s="68"/>
      <c r="B8" s="288" t="s">
        <v>4</v>
      </c>
      <c r="C8" s="112" t="s">
        <v>100</v>
      </c>
      <c r="D8" s="70" t="s">
        <v>76</v>
      </c>
      <c r="E8" s="71" t="s">
        <v>76</v>
      </c>
      <c r="F8" s="70" t="s">
        <v>76</v>
      </c>
      <c r="G8" s="71" t="s">
        <v>76</v>
      </c>
      <c r="H8" s="70" t="s">
        <v>76</v>
      </c>
      <c r="I8" s="71" t="s">
        <v>76</v>
      </c>
      <c r="J8" s="70" t="s">
        <v>76</v>
      </c>
      <c r="K8" s="71" t="s">
        <v>76</v>
      </c>
      <c r="L8" s="70" t="s">
        <v>76</v>
      </c>
      <c r="M8" s="72" t="s">
        <v>76</v>
      </c>
      <c r="N8" s="68"/>
      <c r="O8" s="68"/>
    </row>
    <row r="9" spans="1:15" ht="15" customHeight="1" thickBot="1">
      <c r="A9" s="68"/>
      <c r="B9" s="288"/>
      <c r="C9" s="112" t="s">
        <v>77</v>
      </c>
      <c r="D9" s="81"/>
      <c r="E9" s="82"/>
      <c r="F9" s="81"/>
      <c r="G9" s="82"/>
      <c r="H9" s="81"/>
      <c r="I9" s="82"/>
      <c r="J9" s="81"/>
      <c r="K9" s="82"/>
      <c r="L9" s="81"/>
      <c r="M9" s="83"/>
      <c r="N9" s="68"/>
      <c r="O9" s="68"/>
    </row>
    <row r="10" spans="1:15" ht="15" customHeight="1" thickBot="1">
      <c r="A10" s="68"/>
      <c r="B10" s="288"/>
      <c r="C10" s="112" t="s">
        <v>78</v>
      </c>
      <c r="D10" s="84"/>
      <c r="E10" s="85"/>
      <c r="F10" s="84"/>
      <c r="G10" s="85"/>
      <c r="H10" s="84"/>
      <c r="I10" s="85"/>
      <c r="J10" s="84"/>
      <c r="K10" s="85"/>
      <c r="L10" s="84"/>
      <c r="M10" s="86"/>
      <c r="N10" s="68"/>
      <c r="O10" s="68"/>
    </row>
    <row r="11" spans="1:15" s="68" customFormat="1" ht="15" customHeight="1" thickBot="1">
      <c r="B11" s="288" t="s">
        <v>7</v>
      </c>
      <c r="C11" s="112" t="s">
        <v>100</v>
      </c>
      <c r="D11" s="87" t="s">
        <v>76</v>
      </c>
      <c r="E11" s="88" t="s">
        <v>76</v>
      </c>
      <c r="F11" s="87" t="s">
        <v>76</v>
      </c>
      <c r="G11" s="88" t="s">
        <v>76</v>
      </c>
      <c r="H11" s="87" t="s">
        <v>76</v>
      </c>
      <c r="I11" s="88" t="s">
        <v>76</v>
      </c>
      <c r="J11" s="87" t="s">
        <v>76</v>
      </c>
      <c r="K11" s="88" t="s">
        <v>76</v>
      </c>
      <c r="L11" s="87" t="s">
        <v>76</v>
      </c>
      <c r="M11" s="89" t="s">
        <v>76</v>
      </c>
    </row>
    <row r="12" spans="1:15" s="68" customFormat="1" ht="15" customHeight="1" thickBot="1">
      <c r="B12" s="288"/>
      <c r="C12" s="112" t="s">
        <v>77</v>
      </c>
      <c r="D12" s="75" t="s">
        <v>76</v>
      </c>
      <c r="E12" s="74" t="s">
        <v>76</v>
      </c>
      <c r="F12" s="75" t="s">
        <v>76</v>
      </c>
      <c r="G12" s="74" t="s">
        <v>76</v>
      </c>
      <c r="H12" s="75" t="s">
        <v>76</v>
      </c>
      <c r="I12" s="74" t="s">
        <v>76</v>
      </c>
      <c r="J12" s="75" t="s">
        <v>76</v>
      </c>
      <c r="K12" s="74" t="s">
        <v>76</v>
      </c>
      <c r="L12" s="75" t="s">
        <v>76</v>
      </c>
      <c r="M12" s="76" t="s">
        <v>76</v>
      </c>
    </row>
    <row r="13" spans="1:15" s="68" customFormat="1" ht="15" customHeight="1" thickBot="1">
      <c r="B13" s="288"/>
      <c r="C13" s="112" t="s">
        <v>78</v>
      </c>
      <c r="D13" s="90"/>
      <c r="E13" s="116"/>
      <c r="F13" s="90"/>
      <c r="G13" s="116"/>
      <c r="H13" s="90"/>
      <c r="I13" s="116"/>
      <c r="J13" s="87" t="s">
        <v>76</v>
      </c>
      <c r="K13" s="88" t="s">
        <v>76</v>
      </c>
      <c r="L13" s="87" t="s">
        <v>76</v>
      </c>
      <c r="M13" s="89" t="s">
        <v>76</v>
      </c>
    </row>
    <row r="14" spans="1:15" ht="15" customHeight="1" thickBot="1">
      <c r="B14" s="293" t="s">
        <v>79</v>
      </c>
      <c r="C14" s="112" t="s">
        <v>100</v>
      </c>
      <c r="D14" s="91" t="s">
        <v>76</v>
      </c>
      <c r="E14" s="92" t="s">
        <v>76</v>
      </c>
      <c r="F14" s="91" t="s">
        <v>76</v>
      </c>
      <c r="G14" s="92" t="s">
        <v>76</v>
      </c>
      <c r="H14" s="91" t="s">
        <v>76</v>
      </c>
      <c r="I14" s="92" t="s">
        <v>76</v>
      </c>
      <c r="J14" s="91" t="s">
        <v>76</v>
      </c>
      <c r="K14" s="92" t="s">
        <v>76</v>
      </c>
      <c r="L14" s="91" t="s">
        <v>76</v>
      </c>
      <c r="M14" s="93" t="s">
        <v>76</v>
      </c>
    </row>
    <row r="15" spans="1:15" ht="15" customHeight="1" thickBot="1">
      <c r="B15" s="294"/>
      <c r="C15" s="112" t="s">
        <v>77</v>
      </c>
      <c r="D15" s="75" t="s">
        <v>76</v>
      </c>
      <c r="E15" s="74" t="s">
        <v>76</v>
      </c>
      <c r="F15" s="75" t="s">
        <v>76</v>
      </c>
      <c r="G15" s="74" t="s">
        <v>76</v>
      </c>
      <c r="H15" s="75" t="s">
        <v>76</v>
      </c>
      <c r="I15" s="74" t="s">
        <v>76</v>
      </c>
      <c r="J15" s="75" t="s">
        <v>76</v>
      </c>
      <c r="K15" s="74" t="s">
        <v>76</v>
      </c>
      <c r="L15" s="75" t="s">
        <v>76</v>
      </c>
      <c r="M15" s="76" t="s">
        <v>76</v>
      </c>
    </row>
    <row r="16" spans="1:15" ht="15" customHeight="1" thickBot="1">
      <c r="B16" s="295"/>
      <c r="C16" s="112" t="s">
        <v>78</v>
      </c>
      <c r="D16" s="77"/>
      <c r="E16" s="102"/>
      <c r="F16" s="77"/>
      <c r="G16" s="102"/>
      <c r="H16" s="77"/>
      <c r="I16" s="102"/>
      <c r="J16" s="79" t="s">
        <v>76</v>
      </c>
      <c r="K16" s="78" t="s">
        <v>76</v>
      </c>
      <c r="L16" s="79" t="s">
        <v>76</v>
      </c>
      <c r="M16" s="80" t="s">
        <v>76</v>
      </c>
    </row>
    <row r="17" spans="1:13" ht="15" customHeight="1" thickBot="1">
      <c r="B17" s="288" t="s">
        <v>15</v>
      </c>
      <c r="C17" s="112" t="s">
        <v>100</v>
      </c>
      <c r="D17" s="70" t="s">
        <v>76</v>
      </c>
      <c r="E17" s="71" t="s">
        <v>76</v>
      </c>
      <c r="F17" s="70" t="s">
        <v>76</v>
      </c>
      <c r="G17" s="71" t="s">
        <v>76</v>
      </c>
      <c r="H17" s="70" t="s">
        <v>76</v>
      </c>
      <c r="I17" s="71" t="s">
        <v>76</v>
      </c>
      <c r="J17" s="70" t="s">
        <v>76</v>
      </c>
      <c r="K17" s="71" t="s">
        <v>76</v>
      </c>
      <c r="L17" s="70" t="s">
        <v>76</v>
      </c>
      <c r="M17" s="72" t="s">
        <v>76</v>
      </c>
    </row>
    <row r="18" spans="1:13" ht="15" customHeight="1" thickBot="1">
      <c r="B18" s="288"/>
      <c r="C18" s="112" t="s">
        <v>77</v>
      </c>
      <c r="D18" s="75" t="s">
        <v>76</v>
      </c>
      <c r="E18" s="74" t="s">
        <v>76</v>
      </c>
      <c r="F18" s="75" t="s">
        <v>76</v>
      </c>
      <c r="G18" s="74" t="s">
        <v>76</v>
      </c>
      <c r="H18" s="75" t="s">
        <v>76</v>
      </c>
      <c r="I18" s="74" t="s">
        <v>76</v>
      </c>
      <c r="J18" s="75" t="s">
        <v>76</v>
      </c>
      <c r="K18" s="74" t="s">
        <v>76</v>
      </c>
      <c r="L18" s="75" t="s">
        <v>76</v>
      </c>
      <c r="M18" s="76" t="s">
        <v>76</v>
      </c>
    </row>
    <row r="19" spans="1:13" ht="15" customHeight="1" thickBot="1">
      <c r="B19" s="288"/>
      <c r="C19" s="112" t="s">
        <v>78</v>
      </c>
      <c r="D19" s="77"/>
      <c r="E19" s="102"/>
      <c r="F19" s="77"/>
      <c r="G19" s="102"/>
      <c r="H19" s="77"/>
      <c r="I19" s="102"/>
      <c r="J19" s="77"/>
      <c r="K19" s="102"/>
      <c r="L19" s="77"/>
      <c r="M19" s="103"/>
    </row>
    <row r="20" spans="1:13" ht="15" customHeight="1" thickBot="1">
      <c r="B20" s="296" t="s">
        <v>16</v>
      </c>
      <c r="C20" s="112" t="s">
        <v>100</v>
      </c>
      <c r="D20" s="117"/>
      <c r="E20" s="118"/>
      <c r="F20" s="94" t="s">
        <v>76</v>
      </c>
      <c r="G20" s="95" t="s">
        <v>76</v>
      </c>
      <c r="H20" s="96" t="s">
        <v>76</v>
      </c>
      <c r="I20" s="95" t="s">
        <v>76</v>
      </c>
      <c r="J20" s="96" t="s">
        <v>76</v>
      </c>
      <c r="K20" s="95" t="s">
        <v>76</v>
      </c>
      <c r="L20" s="96" t="s">
        <v>76</v>
      </c>
      <c r="M20" s="97" t="s">
        <v>76</v>
      </c>
    </row>
    <row r="21" spans="1:13" ht="15" customHeight="1" thickBot="1">
      <c r="B21" s="297"/>
      <c r="C21" s="112" t="s">
        <v>77</v>
      </c>
      <c r="D21" s="73"/>
      <c r="E21" s="115"/>
      <c r="F21" s="98" t="s">
        <v>76</v>
      </c>
      <c r="G21" s="99" t="s">
        <v>76</v>
      </c>
      <c r="H21" s="100" t="s">
        <v>76</v>
      </c>
      <c r="I21" s="99" t="s">
        <v>76</v>
      </c>
      <c r="J21" s="100" t="s">
        <v>76</v>
      </c>
      <c r="K21" s="99" t="s">
        <v>76</v>
      </c>
      <c r="L21" s="100" t="s">
        <v>76</v>
      </c>
      <c r="M21" s="101" t="s">
        <v>76</v>
      </c>
    </row>
    <row r="22" spans="1:13" ht="15" customHeight="1" thickBot="1">
      <c r="B22" s="298"/>
      <c r="C22" s="112" t="s">
        <v>78</v>
      </c>
      <c r="D22" s="77"/>
      <c r="E22" s="102"/>
      <c r="F22" s="77"/>
      <c r="G22" s="102"/>
      <c r="H22" s="77"/>
      <c r="I22" s="102"/>
      <c r="J22" s="77"/>
      <c r="K22" s="102"/>
      <c r="L22" s="77"/>
      <c r="M22" s="103"/>
    </row>
    <row r="23" spans="1:13" ht="15" customHeight="1" thickBot="1">
      <c r="B23" s="296" t="s">
        <v>17</v>
      </c>
      <c r="C23" s="112" t="s">
        <v>100</v>
      </c>
      <c r="D23" s="117"/>
      <c r="E23" s="118"/>
      <c r="F23" s="70" t="s">
        <v>76</v>
      </c>
      <c r="G23" s="71" t="s">
        <v>76</v>
      </c>
      <c r="H23" s="70" t="s">
        <v>76</v>
      </c>
      <c r="I23" s="71" t="s">
        <v>76</v>
      </c>
      <c r="J23" s="70" t="s">
        <v>76</v>
      </c>
      <c r="K23" s="71" t="s">
        <v>76</v>
      </c>
      <c r="L23" s="70" t="s">
        <v>76</v>
      </c>
      <c r="M23" s="72" t="s">
        <v>76</v>
      </c>
    </row>
    <row r="24" spans="1:13" ht="15" customHeight="1" thickBot="1">
      <c r="B24" s="297"/>
      <c r="C24" s="112" t="s">
        <v>77</v>
      </c>
      <c r="D24" s="73"/>
      <c r="E24" s="115"/>
      <c r="F24" s="75" t="s">
        <v>76</v>
      </c>
      <c r="G24" s="74" t="s">
        <v>76</v>
      </c>
      <c r="H24" s="75" t="s">
        <v>76</v>
      </c>
      <c r="I24" s="74" t="s">
        <v>76</v>
      </c>
      <c r="J24" s="75" t="s">
        <v>76</v>
      </c>
      <c r="K24" s="74" t="s">
        <v>76</v>
      </c>
      <c r="L24" s="75" t="s">
        <v>76</v>
      </c>
      <c r="M24" s="76" t="s">
        <v>76</v>
      </c>
    </row>
    <row r="25" spans="1:13" ht="15" customHeight="1" thickBot="1">
      <c r="B25" s="298"/>
      <c r="C25" s="112" t="s">
        <v>78</v>
      </c>
      <c r="D25" s="77"/>
      <c r="E25" s="102"/>
      <c r="F25" s="77"/>
      <c r="G25" s="102"/>
      <c r="H25" s="77"/>
      <c r="I25" s="102"/>
      <c r="J25" s="79" t="s">
        <v>76</v>
      </c>
      <c r="K25" s="78" t="s">
        <v>76</v>
      </c>
      <c r="L25" s="79" t="s">
        <v>76</v>
      </c>
      <c r="M25" s="80" t="s">
        <v>76</v>
      </c>
    </row>
    <row r="26" spans="1:13" ht="15" customHeight="1" thickBot="1">
      <c r="B26" s="288" t="s">
        <v>18</v>
      </c>
      <c r="C26" s="112" t="s">
        <v>100</v>
      </c>
      <c r="D26" s="117"/>
      <c r="E26" s="118"/>
      <c r="F26" s="70" t="s">
        <v>76</v>
      </c>
      <c r="G26" s="71" t="s">
        <v>76</v>
      </c>
      <c r="H26" s="70" t="s">
        <v>76</v>
      </c>
      <c r="I26" s="71" t="s">
        <v>76</v>
      </c>
      <c r="J26" s="70" t="s">
        <v>76</v>
      </c>
      <c r="K26" s="71" t="s">
        <v>76</v>
      </c>
      <c r="L26" s="70" t="s">
        <v>76</v>
      </c>
      <c r="M26" s="72" t="s">
        <v>76</v>
      </c>
    </row>
    <row r="27" spans="1:13" ht="15" customHeight="1" thickBot="1">
      <c r="A27" s="68"/>
      <c r="B27" s="288"/>
      <c r="C27" s="112" t="s">
        <v>77</v>
      </c>
      <c r="D27" s="73"/>
      <c r="E27" s="115"/>
      <c r="F27" s="70" t="s">
        <v>76</v>
      </c>
      <c r="G27" s="71" t="s">
        <v>76</v>
      </c>
      <c r="H27" s="70" t="s">
        <v>76</v>
      </c>
      <c r="I27" s="71" t="s">
        <v>76</v>
      </c>
      <c r="J27" s="70" t="s">
        <v>76</v>
      </c>
      <c r="K27" s="71" t="s">
        <v>76</v>
      </c>
      <c r="L27" s="70" t="s">
        <v>76</v>
      </c>
      <c r="M27" s="72" t="s">
        <v>76</v>
      </c>
    </row>
    <row r="28" spans="1:13" ht="15" customHeight="1" thickBot="1">
      <c r="A28" s="68"/>
      <c r="B28" s="288"/>
      <c r="C28" s="112" t="s">
        <v>78</v>
      </c>
      <c r="D28" s="77"/>
      <c r="E28" s="102"/>
      <c r="F28" s="77"/>
      <c r="G28" s="102"/>
      <c r="H28" s="77"/>
      <c r="I28" s="102"/>
      <c r="J28" s="79" t="s">
        <v>76</v>
      </c>
      <c r="K28" s="78" t="s">
        <v>76</v>
      </c>
      <c r="L28" s="79" t="s">
        <v>76</v>
      </c>
      <c r="M28" s="80" t="s">
        <v>76</v>
      </c>
    </row>
    <row r="29" spans="1:13" ht="15" customHeight="1" thickBot="1">
      <c r="A29" s="68"/>
      <c r="B29" s="288" t="s">
        <v>80</v>
      </c>
      <c r="C29" s="112" t="s">
        <v>100</v>
      </c>
      <c r="D29" s="70" t="s">
        <v>76</v>
      </c>
      <c r="E29" s="71" t="s">
        <v>76</v>
      </c>
      <c r="F29" s="70" t="s">
        <v>76</v>
      </c>
      <c r="G29" s="71" t="s">
        <v>76</v>
      </c>
      <c r="H29" s="70" t="s">
        <v>76</v>
      </c>
      <c r="I29" s="71" t="s">
        <v>76</v>
      </c>
      <c r="J29" s="70" t="s">
        <v>76</v>
      </c>
      <c r="K29" s="71" t="s">
        <v>76</v>
      </c>
      <c r="L29" s="70" t="s">
        <v>76</v>
      </c>
      <c r="M29" s="72" t="s">
        <v>76</v>
      </c>
    </row>
    <row r="30" spans="1:13" ht="15" customHeight="1" thickBot="1">
      <c r="A30" s="68"/>
      <c r="B30" s="288"/>
      <c r="C30" s="112" t="s">
        <v>77</v>
      </c>
      <c r="D30" s="81"/>
      <c r="E30" s="82"/>
      <c r="F30" s="81"/>
      <c r="G30" s="82"/>
      <c r="H30" s="81"/>
      <c r="I30" s="82"/>
      <c r="J30" s="75" t="s">
        <v>76</v>
      </c>
      <c r="K30" s="74" t="s">
        <v>76</v>
      </c>
      <c r="L30" s="75" t="s">
        <v>76</v>
      </c>
      <c r="M30" s="76" t="s">
        <v>76</v>
      </c>
    </row>
    <row r="31" spans="1:13" ht="15" customHeight="1" thickBot="1">
      <c r="A31" s="68"/>
      <c r="B31" s="288"/>
      <c r="C31" s="112" t="s">
        <v>78</v>
      </c>
      <c r="D31" s="84"/>
      <c r="E31" s="85"/>
      <c r="F31" s="84"/>
      <c r="G31" s="85"/>
      <c r="H31" s="84"/>
      <c r="I31" s="85"/>
      <c r="J31" s="79" t="s">
        <v>76</v>
      </c>
      <c r="K31" s="78" t="s">
        <v>76</v>
      </c>
      <c r="L31" s="79" t="s">
        <v>76</v>
      </c>
      <c r="M31" s="80" t="s">
        <v>76</v>
      </c>
    </row>
    <row r="32" spans="1:13" s="68" customFormat="1" ht="15" customHeight="1" thickBot="1">
      <c r="B32" s="288" t="s">
        <v>81</v>
      </c>
      <c r="C32" s="112" t="s">
        <v>100</v>
      </c>
      <c r="D32" s="70" t="s">
        <v>76</v>
      </c>
      <c r="E32" s="71" t="s">
        <v>76</v>
      </c>
      <c r="F32" s="70" t="s">
        <v>76</v>
      </c>
      <c r="G32" s="71" t="s">
        <v>76</v>
      </c>
      <c r="H32" s="70" t="s">
        <v>76</v>
      </c>
      <c r="I32" s="71" t="s">
        <v>76</v>
      </c>
      <c r="J32" s="70" t="s">
        <v>76</v>
      </c>
      <c r="K32" s="71" t="s">
        <v>76</v>
      </c>
      <c r="L32" s="70" t="s">
        <v>76</v>
      </c>
      <c r="M32" s="72" t="s">
        <v>76</v>
      </c>
    </row>
    <row r="33" spans="1:13" s="68" customFormat="1" ht="15" customHeight="1" thickBot="1">
      <c r="B33" s="288"/>
      <c r="C33" s="112" t="s">
        <v>77</v>
      </c>
      <c r="D33" s="81"/>
      <c r="E33" s="82"/>
      <c r="F33" s="81"/>
      <c r="G33" s="82"/>
      <c r="H33" s="81"/>
      <c r="I33" s="82"/>
      <c r="J33" s="75" t="s">
        <v>76</v>
      </c>
      <c r="K33" s="74" t="s">
        <v>76</v>
      </c>
      <c r="L33" s="75" t="s">
        <v>76</v>
      </c>
      <c r="M33" s="76" t="s">
        <v>76</v>
      </c>
    </row>
    <row r="34" spans="1:13" s="68" customFormat="1" ht="15" customHeight="1" thickBot="1">
      <c r="B34" s="288"/>
      <c r="C34" s="112" t="s">
        <v>78</v>
      </c>
      <c r="D34" s="77"/>
      <c r="E34" s="102"/>
      <c r="F34" s="77"/>
      <c r="G34" s="102"/>
      <c r="H34" s="77"/>
      <c r="I34" s="102"/>
      <c r="J34" s="79" t="s">
        <v>76</v>
      </c>
      <c r="K34" s="78" t="s">
        <v>76</v>
      </c>
      <c r="L34" s="79" t="s">
        <v>76</v>
      </c>
      <c r="M34" s="80" t="s">
        <v>76</v>
      </c>
    </row>
    <row r="35" spans="1:13" ht="15.75" customHeight="1">
      <c r="A35" s="68"/>
      <c r="B35" s="104"/>
      <c r="C35" s="119"/>
      <c r="D35" s="282" t="s">
        <v>101</v>
      </c>
      <c r="E35" s="283"/>
      <c r="F35" s="283"/>
      <c r="G35" s="283"/>
      <c r="H35" s="283"/>
      <c r="I35" s="283"/>
      <c r="J35" s="283"/>
      <c r="K35" s="283"/>
      <c r="L35" s="283"/>
      <c r="M35" s="284"/>
    </row>
    <row r="36" spans="1:13" ht="15.75" customHeight="1" thickBot="1">
      <c r="A36" s="68"/>
      <c r="B36" s="105"/>
      <c r="C36" s="120" t="s">
        <v>83</v>
      </c>
      <c r="D36" s="285" t="s">
        <v>84</v>
      </c>
      <c r="E36" s="286"/>
      <c r="F36" s="286"/>
      <c r="G36" s="286"/>
      <c r="H36" s="286"/>
      <c r="I36" s="286"/>
      <c r="J36" s="286"/>
      <c r="K36" s="286"/>
      <c r="L36" s="286"/>
      <c r="M36" s="287"/>
    </row>
    <row r="37" spans="1:13" ht="15.75" customHeight="1">
      <c r="A37" s="68"/>
      <c r="B37" s="68"/>
      <c r="C37" s="67"/>
      <c r="D37" s="68"/>
      <c r="E37" s="68"/>
      <c r="F37" s="68"/>
      <c r="G37" s="68"/>
      <c r="H37" s="68"/>
      <c r="I37" s="68"/>
      <c r="J37" s="68"/>
      <c r="K37" s="121"/>
      <c r="L37" s="107"/>
      <c r="M37" s="107"/>
    </row>
    <row r="38" spans="1:13" ht="15.75" customHeight="1">
      <c r="A38" s="68"/>
      <c r="B38" s="68"/>
      <c r="C38" s="67"/>
      <c r="D38" s="68"/>
      <c r="E38" s="68"/>
      <c r="F38" s="68"/>
      <c r="G38" s="68"/>
      <c r="H38" s="68"/>
      <c r="I38" s="68"/>
      <c r="J38" s="68"/>
      <c r="K38" s="68"/>
      <c r="L38" s="68"/>
      <c r="M38" s="68"/>
    </row>
    <row r="39" spans="1:13" ht="15.75" customHeight="1">
      <c r="A39" s="68"/>
      <c r="B39" s="68"/>
      <c r="C39" s="67"/>
      <c r="D39" s="68"/>
      <c r="E39" s="68"/>
      <c r="F39" s="68"/>
      <c r="G39" s="68"/>
      <c r="H39" s="68"/>
      <c r="I39" s="68"/>
      <c r="J39" s="68"/>
      <c r="K39" s="131"/>
      <c r="L39" s="68"/>
      <c r="M39" s="68"/>
    </row>
    <row r="40" spans="1:13" ht="15.75" customHeight="1">
      <c r="A40" s="68"/>
      <c r="B40" s="68"/>
      <c r="C40" s="67"/>
      <c r="D40" s="68"/>
      <c r="E40" s="68"/>
      <c r="F40" s="68"/>
      <c r="G40" s="68"/>
      <c r="H40" s="68"/>
      <c r="I40" s="68"/>
      <c r="J40" s="68"/>
      <c r="K40" s="68"/>
      <c r="L40" s="68"/>
      <c r="M40" s="68"/>
    </row>
    <row r="41" spans="1:13" ht="18" hidden="1" customHeight="1">
      <c r="A41" s="68"/>
      <c r="B41" s="68"/>
      <c r="C41" s="67"/>
      <c r="D41" s="68"/>
      <c r="E41" s="68"/>
      <c r="F41" s="68"/>
      <c r="G41" s="68"/>
      <c r="H41" s="68"/>
      <c r="I41" s="68"/>
      <c r="J41" s="68"/>
      <c r="K41" s="68"/>
      <c r="L41" s="68"/>
      <c r="M41" s="68"/>
    </row>
    <row r="42" spans="1:13" s="68" customFormat="1" ht="18" hidden="1" customHeight="1">
      <c r="C42" s="67"/>
    </row>
    <row r="43" spans="1:13" s="68" customFormat="1" ht="18" hidden="1" customHeight="1">
      <c r="B43" s="110">
        <v>43174</v>
      </c>
      <c r="C43" s="67"/>
    </row>
    <row r="44" spans="1:13" ht="18" hidden="1" customHeight="1">
      <c r="A44" s="68"/>
      <c r="B44" s="110">
        <v>43047</v>
      </c>
      <c r="C44" s="67"/>
      <c r="D44" s="68"/>
      <c r="E44" s="68"/>
      <c r="F44" s="68"/>
      <c r="G44" s="68"/>
      <c r="H44" s="68"/>
      <c r="I44" s="68"/>
      <c r="J44" s="68"/>
      <c r="K44" s="68"/>
      <c r="L44" s="68"/>
      <c r="M44" s="68"/>
    </row>
    <row r="45" spans="1:13" s="68" customFormat="1" ht="18" hidden="1" customHeight="1">
      <c r="B45" s="110">
        <v>42480</v>
      </c>
      <c r="C45" s="67"/>
    </row>
    <row r="46" spans="1:13" ht="18" hidden="1" customHeight="1">
      <c r="A46" s="68"/>
      <c r="B46" s="110">
        <v>42480</v>
      </c>
      <c r="C46" s="67"/>
      <c r="D46" s="68"/>
      <c r="E46" s="68"/>
      <c r="F46" s="68"/>
      <c r="G46" s="68"/>
      <c r="H46" s="68"/>
      <c r="I46" s="68"/>
      <c r="J46" s="68"/>
      <c r="K46" s="68"/>
      <c r="L46" s="68"/>
      <c r="M46" s="68"/>
    </row>
    <row r="47" spans="1:13" ht="18" hidden="1" customHeight="1">
      <c r="A47" s="68"/>
      <c r="B47" s="110">
        <v>42376</v>
      </c>
      <c r="C47" s="67"/>
      <c r="D47" s="68"/>
      <c r="E47" s="68"/>
      <c r="F47" s="68"/>
      <c r="G47" s="68"/>
      <c r="H47" s="68"/>
      <c r="I47" s="68"/>
      <c r="J47" s="68"/>
      <c r="K47" s="68"/>
      <c r="L47" s="68"/>
      <c r="M47" s="68"/>
    </row>
    <row r="48" spans="1:13" ht="25.5" hidden="1" customHeight="1">
      <c r="A48" s="68"/>
      <c r="B48" s="263">
        <v>41593</v>
      </c>
      <c r="C48" s="264"/>
      <c r="D48" s="266"/>
      <c r="E48" s="266"/>
      <c r="F48" s="266"/>
      <c r="G48" s="266"/>
      <c r="H48" s="266"/>
      <c r="I48" s="266"/>
      <c r="J48" s="266"/>
      <c r="K48" s="266"/>
      <c r="L48" s="266"/>
      <c r="M48" s="266"/>
    </row>
    <row r="49" spans="1:13" ht="18" hidden="1" customHeight="1">
      <c r="A49" s="68"/>
      <c r="B49" s="263">
        <v>41240</v>
      </c>
      <c r="C49" s="264"/>
      <c r="D49" s="266"/>
      <c r="E49" s="266"/>
      <c r="F49" s="266"/>
      <c r="G49" s="266"/>
      <c r="H49" s="266"/>
      <c r="I49" s="266"/>
      <c r="J49" s="266"/>
      <c r="K49" s="266"/>
      <c r="L49" s="266"/>
      <c r="M49" s="266"/>
    </row>
    <row r="50" spans="1:13" ht="28.5" hidden="1" customHeight="1">
      <c r="A50" s="68"/>
      <c r="B50" s="263">
        <v>41240</v>
      </c>
      <c r="C50" s="264"/>
      <c r="D50" s="266"/>
      <c r="E50" s="266"/>
      <c r="F50" s="266"/>
      <c r="G50" s="266"/>
      <c r="H50" s="266"/>
      <c r="I50" s="266"/>
      <c r="J50" s="266"/>
      <c r="K50" s="266"/>
      <c r="L50" s="266"/>
      <c r="M50" s="266"/>
    </row>
    <row r="51" spans="1:13" ht="18" hidden="1" customHeight="1">
      <c r="A51" s="68"/>
      <c r="B51" s="263">
        <v>41240</v>
      </c>
      <c r="C51" s="264"/>
      <c r="D51" s="266"/>
      <c r="E51" s="266"/>
      <c r="F51" s="266"/>
      <c r="G51" s="266"/>
      <c r="H51" s="266"/>
      <c r="I51" s="266"/>
      <c r="J51" s="266"/>
      <c r="K51" s="266"/>
      <c r="L51" s="266"/>
      <c r="M51" s="266"/>
    </row>
    <row r="52" spans="1:13" ht="18" hidden="1" customHeight="1">
      <c r="A52" s="68"/>
      <c r="B52" s="263">
        <v>41240</v>
      </c>
      <c r="C52" s="264"/>
      <c r="D52" s="266"/>
      <c r="E52" s="266"/>
      <c r="F52" s="266"/>
      <c r="G52" s="266"/>
      <c r="H52" s="266"/>
      <c r="I52" s="266"/>
      <c r="J52" s="266"/>
      <c r="K52" s="266"/>
      <c r="L52" s="266"/>
      <c r="M52" s="266"/>
    </row>
    <row r="53" spans="1:13" ht="18" hidden="1" customHeight="1">
      <c r="A53" s="68"/>
      <c r="B53" s="263">
        <v>41240</v>
      </c>
      <c r="C53" s="264"/>
      <c r="D53" s="266"/>
      <c r="E53" s="266"/>
      <c r="F53" s="266"/>
      <c r="G53" s="266"/>
      <c r="H53" s="266"/>
      <c r="I53" s="266"/>
      <c r="J53" s="266"/>
      <c r="K53" s="266"/>
      <c r="L53" s="266"/>
      <c r="M53" s="266"/>
    </row>
    <row r="54" spans="1:13" ht="18" hidden="1" customHeight="1">
      <c r="A54" s="68"/>
      <c r="B54" s="263">
        <v>41240</v>
      </c>
      <c r="C54" s="264"/>
      <c r="D54" s="265"/>
      <c r="E54" s="265"/>
      <c r="F54" s="265"/>
      <c r="G54" s="265"/>
      <c r="H54" s="265"/>
      <c r="I54" s="265"/>
      <c r="J54" s="265"/>
      <c r="K54" s="265"/>
      <c r="L54" s="265"/>
      <c r="M54" s="265"/>
    </row>
    <row r="55" spans="1:13" ht="18" hidden="1" customHeight="1">
      <c r="A55" s="68"/>
      <c r="B55" s="263">
        <v>41240</v>
      </c>
      <c r="C55" s="264"/>
      <c r="D55" s="265"/>
      <c r="E55" s="265"/>
      <c r="F55" s="265"/>
      <c r="G55" s="265"/>
      <c r="H55" s="265"/>
      <c r="I55" s="265"/>
      <c r="J55" s="265"/>
      <c r="K55" s="265"/>
      <c r="L55" s="265"/>
      <c r="M55" s="265"/>
    </row>
    <row r="56" spans="1:13" hidden="1"/>
    <row r="57" spans="1:13" hidden="1"/>
    <row r="58" spans="1:13" hidden="1"/>
    <row r="59" spans="1:13" hidden="1"/>
  </sheetData>
  <mergeCells count="30">
    <mergeCell ref="B32:B34"/>
    <mergeCell ref="D2:N2"/>
    <mergeCell ref="A3:O3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D35:M35"/>
    <mergeCell ref="D36:M36"/>
    <mergeCell ref="B48:C48"/>
    <mergeCell ref="D48:M48"/>
    <mergeCell ref="B49:C49"/>
    <mergeCell ref="D49:M49"/>
    <mergeCell ref="B50:C50"/>
    <mergeCell ref="D50:M50"/>
    <mergeCell ref="B51:C51"/>
    <mergeCell ref="D51:M51"/>
    <mergeCell ref="B52:C52"/>
    <mergeCell ref="D52:M52"/>
    <mergeCell ref="B53:C53"/>
    <mergeCell ref="D53:M53"/>
    <mergeCell ref="B54:C54"/>
    <mergeCell ref="D54:M54"/>
    <mergeCell ref="B55:C55"/>
    <mergeCell ref="D55:M55"/>
  </mergeCells>
  <printOptions horizontalCentered="1"/>
  <pageMargins left="0.23622047244094499" right="0.23622047244094499" top="0.55118110236220497" bottom="0" header="0.31496062992126" footer="0.118110236220472"/>
  <pageSetup orientation="portrait" r:id="rId1"/>
  <headerFooter>
    <oddFooter>&amp;L&amp;P&amp;RApril 4, 2025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803ABE0D8D49B5E3085A09CA80AD" ma:contentTypeVersion="0" ma:contentTypeDescription="Create a new document." ma:contentTypeScope="" ma:versionID="5c5bff420b595a568bcd936699c8060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362870-576A-45B9-BB3B-BB29383952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DB88B1-D1AB-4A9E-B357-01455A2A9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2AEC02-F73E-4F07-BB1F-879050E480F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26</vt:i4>
      </vt:variant>
    </vt:vector>
  </HeadingPairs>
  <TitlesOfParts>
    <vt:vector size="42" baseType="lpstr">
      <vt:lpstr>Cover</vt:lpstr>
      <vt:lpstr>Moulded Panel</vt:lpstr>
      <vt:lpstr>Moulded Panel (2)</vt:lpstr>
      <vt:lpstr>Moulded Panel (3)</vt:lpstr>
      <vt:lpstr>Conmore</vt:lpstr>
      <vt:lpstr>Conmore (2)</vt:lpstr>
      <vt:lpstr>Conmore (3)</vt:lpstr>
      <vt:lpstr>Flat Panel</vt:lpstr>
      <vt:lpstr>Flat Panel (2)</vt:lpstr>
      <vt:lpstr>Flat Panel (3)</vt:lpstr>
      <vt:lpstr>Primed Hardboard</vt:lpstr>
      <vt:lpstr>Primed Hardboard (2)</vt:lpstr>
      <vt:lpstr>Primed Hardboard (3)</vt:lpstr>
      <vt:lpstr>Adders</vt:lpstr>
      <vt:lpstr>Door Availability</vt:lpstr>
      <vt:lpstr>Bifold Availability</vt:lpstr>
      <vt:lpstr>Adders!Print_Area</vt:lpstr>
      <vt:lpstr>Conmore!Print_Area</vt:lpstr>
      <vt:lpstr>'Conmore (2)'!Print_Area</vt:lpstr>
      <vt:lpstr>'Conmore (3)'!Print_Area</vt:lpstr>
      <vt:lpstr>Cover!Print_Area</vt:lpstr>
      <vt:lpstr>'Flat Panel'!Print_Area</vt:lpstr>
      <vt:lpstr>'Flat Panel (2)'!Print_Area</vt:lpstr>
      <vt:lpstr>'Flat Panel (3)'!Print_Area</vt:lpstr>
      <vt:lpstr>'Moulded Panel'!Print_Area</vt:lpstr>
      <vt:lpstr>'Moulded Panel (2)'!Print_Area</vt:lpstr>
      <vt:lpstr>'Moulded Panel (3)'!Print_Area</vt:lpstr>
      <vt:lpstr>'Primed Hardboard'!Print_Area</vt:lpstr>
      <vt:lpstr>'Primed Hardboard (2)'!Print_Area</vt:lpstr>
      <vt:lpstr>'Primed Hardboard (3)'!Print_Area</vt:lpstr>
      <vt:lpstr>Conmore!Print_Titles_MI</vt:lpstr>
      <vt:lpstr>'Conmore (2)'!Print_Titles_MI</vt:lpstr>
      <vt:lpstr>'Conmore (3)'!Print_Titles_MI</vt:lpstr>
      <vt:lpstr>'Flat Panel'!Print_Titles_MI</vt:lpstr>
      <vt:lpstr>'Flat Panel (2)'!Print_Titles_MI</vt:lpstr>
      <vt:lpstr>'Flat Panel (3)'!Print_Titles_MI</vt:lpstr>
      <vt:lpstr>'Moulded Panel'!Print_Titles_MI</vt:lpstr>
      <vt:lpstr>'Moulded Panel (2)'!Print_Titles_MI</vt:lpstr>
      <vt:lpstr>'Moulded Panel (3)'!Print_Titles_MI</vt:lpstr>
      <vt:lpstr>'Primed Hardboard'!Print_Titles_MI</vt:lpstr>
      <vt:lpstr>'Primed Hardboard (2)'!Print_Titles_MI</vt:lpstr>
      <vt:lpstr>'Primed Hardboard (3)'!Print_Titles_MI</vt:lpstr>
    </vt:vector>
  </TitlesOfParts>
  <Company>JELD-WEN,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Bouchard</dc:creator>
  <cp:lastModifiedBy>Russ Miller</cp:lastModifiedBy>
  <cp:lastPrinted>2025-04-09T15:27:05Z</cp:lastPrinted>
  <dcterms:created xsi:type="dcterms:W3CDTF">2012-04-11T17:17:47Z</dcterms:created>
  <dcterms:modified xsi:type="dcterms:W3CDTF">2025-05-08T20:18:56Z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0x010100EAB1803ABE0D8D49B5E3085A09CA80AD</vt:lpwstr>
  </property>
</Properties>
</file>