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eldweninc1-my.sharepoint.com/personal/russellm_jeld-wen_com/Documents/Desktop/PLM/Price Increase April 4 2025/Interior Doors/WW/PQ-WW SBP-Alexandria/"/>
    </mc:Choice>
  </mc:AlternateContent>
  <xr:revisionPtr revIDLastSave="73" documentId="8_{357BC193-E718-4954-BB8C-76606F0DC28E}" xr6:coauthVersionLast="47" xr6:coauthVersionMax="47" xr10:uidLastSave="{FB2D9887-3E8D-4AEA-94C1-5F48BB306977}"/>
  <bookViews>
    <workbookView xWindow="-110" yWindow="-110" windowWidth="38620" windowHeight="21100" xr2:uid="{00000000-000D-0000-FFFF-FFFF00000000}"/>
  </bookViews>
  <sheets>
    <sheet name="Door Pricing" sheetId="3" r:id="rId1"/>
    <sheet name="Door Pricing added 5%" sheetId="5" r:id="rId2"/>
    <sheet name="Adders" sheetId="4" r:id="rId3"/>
    <sheet name="Modèle moulées" sheetId="6" r:id="rId4"/>
    <sheet name="Disponibilité Portes" sheetId="7" r:id="rId5"/>
    <sheet name="Disponibilité Pliantes" sheetId="8" r:id="rId6"/>
  </sheets>
  <definedNames>
    <definedName name="_xlnm.Print_Area" localSheetId="2">Adders!$A$1:$E$27</definedName>
    <definedName name="_xlnm.Print_Area" localSheetId="0">'Door Pricing'!$A$1:$G$43</definedName>
    <definedName name="_xlnm.Print_Area" localSheetId="1">'Door Pricing added 5%'!$A$1:$G$42</definedName>
    <definedName name="_xlnm.Print_Area" localSheetId="3">'Modèle moulées'!$A$1:$G$31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5" l="1"/>
  <c r="C15" i="5"/>
  <c r="E29" i="5" l="1"/>
  <c r="D29" i="5"/>
  <c r="F22" i="5" l="1"/>
  <c r="C22" i="5"/>
  <c r="C21" i="5"/>
  <c r="D16" i="4"/>
  <c r="D18" i="4"/>
  <c r="D19" i="4"/>
  <c r="D20" i="4"/>
  <c r="H8" i="4"/>
  <c r="D8" i="4" s="1"/>
  <c r="H16" i="4"/>
  <c r="H17" i="4"/>
  <c r="D17" i="4" s="1"/>
  <c r="H18" i="4"/>
  <c r="H19" i="4"/>
  <c r="H20" i="4"/>
  <c r="H21" i="4"/>
  <c r="D21" i="4" s="1"/>
  <c r="H22" i="4"/>
  <c r="D22" i="4" s="1"/>
  <c r="H23" i="4"/>
  <c r="D23" i="4" s="1"/>
  <c r="H7" i="4"/>
  <c r="D7" i="4" s="1"/>
  <c r="D25" i="3"/>
  <c r="D13" i="3"/>
  <c r="S8" i="3"/>
  <c r="F8" i="3" s="1"/>
  <c r="S9" i="3"/>
  <c r="F9" i="3" s="1"/>
  <c r="S10" i="3"/>
  <c r="F10" i="3" s="1"/>
  <c r="S11" i="3"/>
  <c r="F11" i="3" s="1"/>
  <c r="S12" i="3"/>
  <c r="F12" i="3" s="1"/>
  <c r="S13" i="3"/>
  <c r="F13" i="3" s="1"/>
  <c r="S14" i="3"/>
  <c r="F14" i="3" s="1"/>
  <c r="S16" i="3"/>
  <c r="F16" i="3" s="1"/>
  <c r="F16" i="5" s="1"/>
  <c r="S17" i="3"/>
  <c r="F17" i="3" s="1"/>
  <c r="F17" i="5" s="1"/>
  <c r="S18" i="3"/>
  <c r="F18" i="3" s="1"/>
  <c r="F18" i="5" s="1"/>
  <c r="S19" i="3"/>
  <c r="F19" i="3" s="1"/>
  <c r="F19" i="5" s="1"/>
  <c r="S20" i="3"/>
  <c r="F20" i="3" s="1"/>
  <c r="F20" i="5" s="1"/>
  <c r="S21" i="3"/>
  <c r="F21" i="3" s="1"/>
  <c r="F21" i="5" s="1"/>
  <c r="S25" i="3"/>
  <c r="F25" i="3" s="1"/>
  <c r="S26" i="3"/>
  <c r="F26" i="3" s="1"/>
  <c r="S27" i="3"/>
  <c r="F27" i="3" s="1"/>
  <c r="S28" i="3"/>
  <c r="F28" i="3" s="1"/>
  <c r="F28" i="5" s="1"/>
  <c r="S29" i="3"/>
  <c r="F29" i="3" s="1"/>
  <c r="F29" i="5" s="1"/>
  <c r="S31" i="3"/>
  <c r="F31" i="3" s="1"/>
  <c r="S32" i="3"/>
  <c r="F32" i="3" s="1"/>
  <c r="S33" i="3"/>
  <c r="F33" i="3" s="1"/>
  <c r="S34" i="3"/>
  <c r="F34" i="3" s="1"/>
  <c r="S35" i="3"/>
  <c r="F35" i="3" s="1"/>
  <c r="S37" i="3"/>
  <c r="F37" i="3" s="1"/>
  <c r="F37" i="5" s="1"/>
  <c r="S38" i="3"/>
  <c r="F38" i="3" s="1"/>
  <c r="F38" i="5" s="1"/>
  <c r="S7" i="3"/>
  <c r="F7" i="3" s="1"/>
  <c r="P8" i="3"/>
  <c r="E8" i="3" s="1"/>
  <c r="P9" i="3"/>
  <c r="E9" i="3" s="1"/>
  <c r="P10" i="3"/>
  <c r="E10" i="3" s="1"/>
  <c r="P11" i="3"/>
  <c r="E11" i="3" s="1"/>
  <c r="P12" i="3"/>
  <c r="E12" i="3" s="1"/>
  <c r="P13" i="3"/>
  <c r="E13" i="3" s="1"/>
  <c r="P16" i="3"/>
  <c r="E16" i="3" s="1"/>
  <c r="E16" i="5" s="1"/>
  <c r="P17" i="3"/>
  <c r="E17" i="3" s="1"/>
  <c r="E17" i="5" s="1"/>
  <c r="P18" i="3"/>
  <c r="E18" i="3" s="1"/>
  <c r="E18" i="5" s="1"/>
  <c r="P19" i="3"/>
  <c r="E19" i="3" s="1"/>
  <c r="E19" i="5" s="1"/>
  <c r="P20" i="3"/>
  <c r="E20" i="3" s="1"/>
  <c r="E20" i="5" s="1"/>
  <c r="P25" i="3"/>
  <c r="E25" i="3" s="1"/>
  <c r="P26" i="3"/>
  <c r="E26" i="3" s="1"/>
  <c r="P27" i="3"/>
  <c r="E27" i="3" s="1"/>
  <c r="P28" i="3"/>
  <c r="E28" i="3" s="1"/>
  <c r="E28" i="5" s="1"/>
  <c r="P31" i="3"/>
  <c r="E31" i="3" s="1"/>
  <c r="P32" i="3"/>
  <c r="E32" i="3" s="1"/>
  <c r="P33" i="3"/>
  <c r="E33" i="3" s="1"/>
  <c r="P34" i="3"/>
  <c r="E34" i="3" s="1"/>
  <c r="P37" i="3"/>
  <c r="E37" i="3" s="1"/>
  <c r="E37" i="5" s="1"/>
  <c r="P38" i="3"/>
  <c r="E38" i="3" s="1"/>
  <c r="E38" i="5" s="1"/>
  <c r="P7" i="3"/>
  <c r="E7" i="3" s="1"/>
  <c r="M8" i="3"/>
  <c r="D8" i="3" s="1"/>
  <c r="M9" i="3"/>
  <c r="D9" i="3" s="1"/>
  <c r="M10" i="3"/>
  <c r="D10" i="3" s="1"/>
  <c r="M11" i="3"/>
  <c r="D11" i="3" s="1"/>
  <c r="M12" i="3"/>
  <c r="D12" i="3" s="1"/>
  <c r="M13" i="3"/>
  <c r="M16" i="3"/>
  <c r="D16" i="3" s="1"/>
  <c r="D16" i="5" s="1"/>
  <c r="M17" i="3"/>
  <c r="D17" i="3" s="1"/>
  <c r="D17" i="5" s="1"/>
  <c r="M18" i="3"/>
  <c r="D18" i="3" s="1"/>
  <c r="D18" i="5" s="1"/>
  <c r="M19" i="3"/>
  <c r="D19" i="3" s="1"/>
  <c r="D19" i="5" s="1"/>
  <c r="M20" i="3"/>
  <c r="D20" i="3" s="1"/>
  <c r="D20" i="5" s="1"/>
  <c r="M25" i="3"/>
  <c r="M26" i="3"/>
  <c r="D26" i="3" s="1"/>
  <c r="M27" i="3"/>
  <c r="D27" i="3" s="1"/>
  <c r="M28" i="3"/>
  <c r="D28" i="3" s="1"/>
  <c r="D28" i="5" s="1"/>
  <c r="M31" i="3"/>
  <c r="D31" i="3" s="1"/>
  <c r="M32" i="3"/>
  <c r="D32" i="3" s="1"/>
  <c r="M33" i="3"/>
  <c r="D33" i="3" s="1"/>
  <c r="M34" i="3"/>
  <c r="D34" i="3" s="1"/>
  <c r="M37" i="3"/>
  <c r="D37" i="3" s="1"/>
  <c r="D37" i="5" s="1"/>
  <c r="M38" i="3"/>
  <c r="D38" i="3" s="1"/>
  <c r="D38" i="5" s="1"/>
  <c r="M7" i="3"/>
  <c r="D7" i="3" s="1"/>
  <c r="J8" i="3"/>
  <c r="C8" i="3" s="1"/>
  <c r="J9" i="3"/>
  <c r="C9" i="3" s="1"/>
  <c r="J10" i="3"/>
  <c r="C10" i="3" s="1"/>
  <c r="J11" i="3"/>
  <c r="C11" i="3" s="1"/>
  <c r="J12" i="3"/>
  <c r="C12" i="3" s="1"/>
  <c r="J13" i="3"/>
  <c r="C13" i="3" s="1"/>
  <c r="J16" i="3"/>
  <c r="C16" i="3" s="1"/>
  <c r="C16" i="5" s="1"/>
  <c r="J17" i="3"/>
  <c r="C17" i="3" s="1"/>
  <c r="C17" i="5" s="1"/>
  <c r="J18" i="3"/>
  <c r="C18" i="3" s="1"/>
  <c r="C18" i="5" s="1"/>
  <c r="J19" i="3"/>
  <c r="C19" i="3" s="1"/>
  <c r="C19" i="5" s="1"/>
  <c r="J20" i="3"/>
  <c r="C20" i="3" s="1"/>
  <c r="C20" i="5" s="1"/>
  <c r="J23" i="3"/>
  <c r="J25" i="3"/>
  <c r="C25" i="3" s="1"/>
  <c r="J26" i="3"/>
  <c r="C26" i="3" s="1"/>
  <c r="J27" i="3"/>
  <c r="C27" i="3" s="1"/>
  <c r="J28" i="3"/>
  <c r="C28" i="3" s="1"/>
  <c r="C28" i="5" s="1"/>
  <c r="J29" i="3"/>
  <c r="C29" i="3" s="1"/>
  <c r="C29" i="5" s="1"/>
  <c r="J31" i="3"/>
  <c r="C31" i="3" s="1"/>
  <c r="J32" i="3"/>
  <c r="C32" i="3" s="1"/>
  <c r="J33" i="3"/>
  <c r="C33" i="3" s="1"/>
  <c r="J34" i="3"/>
  <c r="C34" i="3" s="1"/>
  <c r="J37" i="3"/>
  <c r="C37" i="3" s="1"/>
  <c r="C37" i="5" s="1"/>
  <c r="J38" i="3"/>
  <c r="C38" i="3" s="1"/>
  <c r="C38" i="5" s="1"/>
  <c r="J39" i="3"/>
  <c r="J41" i="3"/>
  <c r="J42" i="3"/>
  <c r="J7" i="3"/>
  <c r="C7" i="3" s="1"/>
  <c r="F32" i="5" l="1"/>
  <c r="F33" i="5"/>
  <c r="F34" i="5"/>
  <c r="F35" i="5"/>
  <c r="F31" i="5"/>
  <c r="F26" i="5"/>
  <c r="F27" i="5"/>
  <c r="F25" i="5"/>
  <c r="D25" i="5"/>
  <c r="E25" i="5"/>
  <c r="D26" i="5"/>
  <c r="E26" i="5"/>
  <c r="D27" i="5"/>
  <c r="E27" i="5"/>
  <c r="F14" i="5"/>
  <c r="F8" i="5"/>
  <c r="F9" i="5"/>
  <c r="F10" i="5"/>
  <c r="F11" i="5"/>
  <c r="F12" i="5"/>
  <c r="F13" i="5"/>
  <c r="F7" i="5"/>
  <c r="D31" i="5"/>
  <c r="E31" i="5"/>
  <c r="D32" i="5"/>
  <c r="E32" i="5"/>
  <c r="D33" i="5"/>
  <c r="E33" i="5"/>
  <c r="D34" i="5"/>
  <c r="E34" i="5"/>
  <c r="D7" i="5"/>
  <c r="E7" i="5"/>
  <c r="D8" i="5"/>
  <c r="E8" i="5"/>
  <c r="D9" i="5"/>
  <c r="E9" i="5"/>
  <c r="D10" i="5"/>
  <c r="E10" i="5"/>
  <c r="D11" i="5"/>
  <c r="E11" i="5"/>
  <c r="D12" i="5"/>
  <c r="E12" i="5"/>
  <c r="D13" i="5"/>
  <c r="E13" i="5"/>
  <c r="C8" i="5"/>
  <c r="C9" i="5"/>
  <c r="C10" i="5"/>
  <c r="C11" i="5"/>
  <c r="C12" i="5"/>
  <c r="C13" i="5"/>
  <c r="C25" i="5"/>
  <c r="C26" i="5"/>
  <c r="C27" i="5"/>
  <c r="C31" i="5"/>
  <c r="C32" i="5"/>
  <c r="C33" i="5"/>
  <c r="C34" i="5"/>
  <c r="C7" i="5"/>
</calcChain>
</file>

<file path=xl/sharedStrings.xml><?xml version="1.0" encoding="utf-8"?>
<sst xmlns="http://schemas.openxmlformats.org/spreadsheetml/2006/main" count="847" uniqueCount="127">
  <si>
    <r>
      <rPr>
        <b/>
        <sz val="15"/>
        <rFont val="Arial"/>
        <family val="2"/>
      </rPr>
      <t>Net Pricing (Canadian Dollars)</t>
    </r>
  </si>
  <si>
    <r>
      <rPr>
        <b/>
        <sz val="10.5"/>
        <rFont val="Arial"/>
        <family val="2"/>
      </rPr>
      <t>Slab</t>
    </r>
  </si>
  <si>
    <r>
      <rPr>
        <b/>
        <sz val="10.5"/>
        <rFont val="Arial"/>
        <family val="2"/>
      </rPr>
      <t>Colonial Moulded</t>
    </r>
  </si>
  <si>
    <r>
      <rPr>
        <b/>
        <sz val="10.5"/>
        <rFont val="Arial"/>
        <family val="2"/>
      </rPr>
      <t>Conmore</t>
    </r>
  </si>
  <si>
    <r>
      <rPr>
        <b/>
        <sz val="10.5"/>
        <rFont val="Arial"/>
        <family val="2"/>
      </rPr>
      <t>Flat Moulded (Shaker)</t>
    </r>
  </si>
  <si>
    <r>
      <rPr>
        <b/>
        <sz val="10.5"/>
        <rFont val="Arial"/>
        <family val="2"/>
      </rPr>
      <t>Primed Hardboard</t>
    </r>
  </si>
  <si>
    <r>
      <rPr>
        <b/>
        <sz val="9"/>
        <rFont val="Arial"/>
        <family val="2"/>
      </rPr>
      <t>12" to 18"</t>
    </r>
  </si>
  <si>
    <r>
      <rPr>
        <b/>
        <sz val="9"/>
        <rFont val="Arial"/>
        <family val="2"/>
      </rPr>
      <t>20" to 24"</t>
    </r>
  </si>
  <si>
    <r>
      <rPr>
        <b/>
        <sz val="9"/>
        <rFont val="Arial"/>
        <family val="2"/>
      </rPr>
      <t>26" &amp; 28"</t>
    </r>
  </si>
  <si>
    <r>
      <rPr>
        <b/>
        <sz val="9"/>
        <rFont val="Arial"/>
        <family val="2"/>
      </rPr>
      <t>30"</t>
    </r>
  </si>
  <si>
    <r>
      <rPr>
        <b/>
        <sz val="9"/>
        <rFont val="Arial"/>
        <family val="2"/>
      </rPr>
      <t>32"</t>
    </r>
  </si>
  <si>
    <r>
      <rPr>
        <b/>
        <sz val="9"/>
        <rFont val="Arial"/>
        <family val="2"/>
      </rPr>
      <t>34"</t>
    </r>
  </si>
  <si>
    <r>
      <rPr>
        <b/>
        <sz val="9"/>
        <rFont val="Arial"/>
        <family val="2"/>
      </rPr>
      <t>36"</t>
    </r>
  </si>
  <si>
    <r>
      <rPr>
        <b/>
        <sz val="9"/>
        <rFont val="Arial"/>
        <family val="2"/>
      </rPr>
      <t>38''</t>
    </r>
  </si>
  <si>
    <r>
      <rPr>
        <b/>
        <sz val="9"/>
        <rFont val="Arial"/>
        <family val="2"/>
      </rPr>
      <t>NA</t>
    </r>
  </si>
  <si>
    <r>
      <rPr>
        <b/>
        <sz val="9"/>
        <rFont val="Arial"/>
        <family val="2"/>
      </rPr>
      <t>Height 84"</t>
    </r>
  </si>
  <si>
    <r>
      <rPr>
        <b/>
        <sz val="9"/>
        <rFont val="Arial"/>
        <family val="2"/>
      </rPr>
      <t>Height 96"</t>
    </r>
  </si>
  <si>
    <r>
      <rPr>
        <b/>
        <sz val="9"/>
        <rFont val="Arial"/>
        <family val="2"/>
      </rPr>
      <t>1 3/8 solid core 80'' add</t>
    </r>
  </si>
  <si>
    <r>
      <rPr>
        <b/>
        <sz val="9"/>
        <rFont val="Arial"/>
        <family val="2"/>
      </rPr>
      <t>1 3/8 solid core 84' add</t>
    </r>
  </si>
  <si>
    <r>
      <rPr>
        <b/>
        <sz val="9"/>
        <rFont val="Arial"/>
        <family val="2"/>
      </rPr>
      <t>1 3/8 solid core 96' add</t>
    </r>
  </si>
  <si>
    <r>
      <rPr>
        <b/>
        <sz val="9"/>
        <rFont val="Arial"/>
        <family val="2"/>
      </rPr>
      <t>For pivot or bypass door add $4.40</t>
    </r>
  </si>
  <si>
    <r>
      <rPr>
        <b/>
        <sz val="9"/>
        <rFont val="Arial"/>
        <family val="2"/>
      </rPr>
      <t>18" to  24"</t>
    </r>
  </si>
  <si>
    <r>
      <rPr>
        <b/>
        <sz val="9"/>
        <rFont val="Arial"/>
        <family val="2"/>
      </rPr>
      <t>26" to 30"</t>
    </r>
  </si>
  <si>
    <r>
      <rPr>
        <b/>
        <sz val="9"/>
        <rFont val="Arial"/>
        <family val="2"/>
      </rPr>
      <t>32" to  36"</t>
    </r>
  </si>
  <si>
    <r>
      <rPr>
        <b/>
        <sz val="9"/>
        <rFont val="Arial"/>
        <family val="2"/>
      </rPr>
      <t>1 3/4 20 min (no label)</t>
    </r>
  </si>
  <si>
    <r>
      <rPr>
        <b/>
        <sz val="9"/>
        <rFont val="Arial"/>
        <family val="2"/>
      </rPr>
      <t>Height 82" or 84"</t>
    </r>
  </si>
  <si>
    <r>
      <rPr>
        <b/>
        <sz val="16"/>
        <rFont val="Arial"/>
        <family val="2"/>
      </rPr>
      <t>ADDERS:</t>
    </r>
  </si>
  <si>
    <r>
      <rPr>
        <b/>
        <sz val="12"/>
        <rFont val="Arial"/>
        <family val="2"/>
      </rPr>
      <t>Machining 2 or 3 hinges &amp; cyl. Lock (1 3/8)</t>
    </r>
  </si>
  <si>
    <r>
      <rPr>
        <b/>
        <sz val="12"/>
        <rFont val="Arial"/>
        <family val="2"/>
      </rPr>
      <t>Machining 3 hinges &amp; cyl. Lock (1 3/4)</t>
    </r>
  </si>
  <si>
    <r>
      <rPr>
        <b/>
        <sz val="12"/>
        <rFont val="Arial"/>
        <family val="2"/>
      </rPr>
      <t>Machining lock 1 side for slider</t>
    </r>
  </si>
  <si>
    <r>
      <rPr>
        <b/>
        <sz val="12"/>
        <rFont val="Arial"/>
        <family val="2"/>
      </rPr>
      <t>Machining 50K (1 3/4)</t>
    </r>
  </si>
  <si>
    <r>
      <rPr>
        <b/>
        <sz val="12"/>
        <rFont val="Arial"/>
        <family val="2"/>
      </rPr>
      <t>Machining Flush Bolts top &amp; bottom (13/4)</t>
    </r>
  </si>
  <si>
    <r>
      <rPr>
        <b/>
        <sz val="12"/>
        <rFont val="Arial"/>
        <family val="2"/>
      </rPr>
      <t>Deadlock or peep hole</t>
    </r>
  </si>
  <si>
    <r>
      <rPr>
        <b/>
        <sz val="12"/>
        <rFont val="Arial"/>
        <family val="2"/>
      </rPr>
      <t>Pivot or slider</t>
    </r>
  </si>
  <si>
    <r>
      <rPr>
        <b/>
        <sz val="12"/>
        <rFont val="Arial"/>
        <family val="2"/>
      </rPr>
      <t>Machining Mortice lock</t>
    </r>
  </si>
  <si>
    <r>
      <rPr>
        <b/>
        <sz val="12"/>
        <rFont val="Arial"/>
        <family val="2"/>
      </rPr>
      <t>Machining bottom closure 1 3/8 (C-201)</t>
    </r>
  </si>
  <si>
    <r>
      <rPr>
        <b/>
        <sz val="12"/>
        <rFont val="Arial"/>
        <family val="2"/>
      </rPr>
      <t>Wood rails 3'' (top &amp; bottom)</t>
    </r>
  </si>
  <si>
    <r>
      <rPr>
        <b/>
        <sz val="12"/>
        <rFont val="Arial"/>
        <family val="2"/>
      </rPr>
      <t>Non formaldehyde (moulded 13/8 hc)</t>
    </r>
  </si>
  <si>
    <r>
      <rPr>
        <b/>
        <sz val="12"/>
        <rFont val="Arial"/>
        <family val="2"/>
      </rPr>
      <t>On Request</t>
    </r>
  </si>
  <si>
    <r>
      <rPr>
        <b/>
        <sz val="12"/>
        <rFont val="Arial"/>
        <family val="2"/>
      </rPr>
      <t>Non formaldehyde bifold (moulded 13/8 )</t>
    </r>
  </si>
  <si>
    <r>
      <rPr>
        <b/>
        <sz val="12"/>
        <rFont val="Arial"/>
        <family val="2"/>
      </rPr>
      <t>Non formaldehyde (moulded 13/8 solid core)</t>
    </r>
  </si>
  <si>
    <t>On Request</t>
  </si>
  <si>
    <t>Net Pricing (Canadian Dollars)</t>
  </si>
  <si>
    <t>Bifold 79 in. c/w hardware shrink-wrapped</t>
  </si>
  <si>
    <t>Bifold 79 in.  c/w hardware shrink-wrapped</t>
  </si>
  <si>
    <t>If Full Truckload rules are met a 5% charge will apply to broken lifts (if order is accepted)</t>
  </si>
  <si>
    <t>FULL TRUCKLOAD PRICING                                                                                                                                  1000 Doors or more / Full Lifts (same size/style/size)</t>
  </si>
  <si>
    <t>LESS THAN TRUCKLOAD -  Order Quantity Pricing (200-999)                                                                        NOTE:  MINIMUM ORDER QUANTITY 200</t>
  </si>
  <si>
    <t>May 5, 2025 Price List</t>
  </si>
  <si>
    <t>Jan 2025 Price</t>
  </si>
  <si>
    <t>May 2025 Price</t>
  </si>
  <si>
    <t>% Increase</t>
  </si>
  <si>
    <t>For pivot or bypass door add $4.65</t>
  </si>
  <si>
    <t>Less than 5 per size (1-4) add $7.00</t>
  </si>
  <si>
    <t>20 Min Labelled + Machined (3 hinges+Cyl lock): $24.50</t>
  </si>
  <si>
    <t>Off standard for slab, bifold &amp; procore 1 3/8 or 13/4 add : $61.70</t>
  </si>
  <si>
    <t>Manual update</t>
  </si>
  <si>
    <t>Manual Update</t>
  </si>
  <si>
    <t>COLONIST TEX</t>
  </si>
  <si>
    <t>CAMDEN</t>
  </si>
  <si>
    <t>Slab</t>
  </si>
  <si>
    <t>6/8, 7/0, 8/0</t>
  </si>
  <si>
    <t>6/8</t>
  </si>
  <si>
    <t>Bifold</t>
  </si>
  <si>
    <t>Smooth</t>
  </si>
  <si>
    <t>CARRARA</t>
  </si>
  <si>
    <t>SANTA-FE</t>
  </si>
  <si>
    <t>ROCKPORT</t>
  </si>
  <si>
    <t>CRAFTSMAN</t>
  </si>
  <si>
    <t>MADISON</t>
  </si>
  <si>
    <t>CONMORE</t>
  </si>
  <si>
    <t>MONROE</t>
  </si>
  <si>
    <t>BIRKDALE</t>
  </si>
  <si>
    <t>6/8 &amp; 7/0</t>
  </si>
  <si>
    <t xml:space="preserve"> Portes - dimensions disponibles / Doors - sizes available</t>
  </si>
  <si>
    <t>modèle / model</t>
  </si>
  <si>
    <t>12''</t>
  </si>
  <si>
    <t>14''</t>
  </si>
  <si>
    <t>16''</t>
  </si>
  <si>
    <t>18''</t>
  </si>
  <si>
    <t>20''</t>
  </si>
  <si>
    <t>22''</t>
  </si>
  <si>
    <t>24''</t>
  </si>
  <si>
    <t>26''</t>
  </si>
  <si>
    <t>28''</t>
  </si>
  <si>
    <t>30''</t>
  </si>
  <si>
    <t>32''</t>
  </si>
  <si>
    <t>34''</t>
  </si>
  <si>
    <t>36''</t>
  </si>
  <si>
    <t>80''</t>
  </si>
  <si>
    <t>X</t>
  </si>
  <si>
    <t>84''</t>
  </si>
  <si>
    <t>96''</t>
  </si>
  <si>
    <t>COLONIST      TEXT</t>
  </si>
  <si>
    <t>SANTA FE</t>
  </si>
  <si>
    <t>Non disponible / Not Available size</t>
  </si>
  <si>
    <t>x</t>
  </si>
  <si>
    <t xml:space="preserve">Disponible / Available </t>
  </si>
  <si>
    <t>notes internes</t>
  </si>
  <si>
    <t>ajot AVA 84'' x 18 à 36 incl, contl 16x84, rock 16x84''</t>
  </si>
  <si>
    <t>ajout carrara 80 84 96'', contl 28 et 32x96 , de 4 a 5, ajout coventry 84 et 96</t>
  </si>
  <si>
    <t>Avalon 26- de cmi à skin JW ( batt de 5,3/16 à 3,3/16)</t>
  </si>
  <si>
    <t>ajout Monroe, enlevé atherton ( Kathya ) , enlevé avalon 84'' ( Kathya )</t>
  </si>
  <si>
    <t>enlevé arl bostonian, stanford, ajouté colonist tex col smth, coventry, monroe a venir</t>
  </si>
  <si>
    <t>MAJ liste prix 2014, ajout 96 = ath 12à20 inc, camb 12 a 16 inc, cont 12 a 16 inc, princ 12 a 20 inc, safe 12 a 16 inc. Miroir changé 2,3/8 seuelement pour la r`gle affichée</t>
  </si>
  <si>
    <t>ajout Conmore + Madison + note exécutive + détail du mini bkst 2.3/8</t>
  </si>
  <si>
    <r>
      <t xml:space="preserve">note backset 2.3/8 = diam trou poignée 2.1/8 + 1/2 diam ( 1.1/16) = 3.7/16 + rosette finition 2.5/8 ou 3.7/16 + 1/4 = 3.11/16 + var shaper 1/8 = </t>
    </r>
    <r>
      <rPr>
        <b/>
        <sz val="10"/>
        <rFont val="Arial"/>
        <family val="2"/>
      </rPr>
      <t>3.13/16</t>
    </r>
  </si>
  <si>
    <t>revision pann bos 20''x80 et 84'' = ok batt 4.1/16 , ok backset 2.3/8</t>
  </si>
  <si>
    <t>revision bos 20x96, batt 5.1/8</t>
  </si>
  <si>
    <t>cont 16 et 18 x 80 et 84 sous min requis backset 2.3/8</t>
  </si>
  <si>
    <t>craftsman 12x80 et 84, sous min requis backset 2.3/8</t>
  </si>
  <si>
    <t>rockport 16x80 sous min requis backset 2.3/8</t>
  </si>
  <si>
    <t>Pliantes - dimensions disponibles
Bifolds - sizes available</t>
  </si>
  <si>
    <t>79''</t>
  </si>
  <si>
    <t xml:space="preserve">Non disponible / Not Available </t>
  </si>
  <si>
    <t>1 3/4 hollow core 80" add</t>
  </si>
  <si>
    <t>1 3/4 hollow core 84" add</t>
  </si>
  <si>
    <t>NA</t>
  </si>
  <si>
    <t>Machining 3 hinges &amp; cyl. Lock (1 3/4)  for 20 min</t>
  </si>
  <si>
    <t>Adder for 45 Min Flush (includes prep for 3 hinges &amp; cyl lock)</t>
  </si>
  <si>
    <t>Adder for 45 Min Moulded (includes prep for 3 hinges &amp; cyl lock)</t>
  </si>
  <si>
    <t>Adder for 60 - 90  Min Flush (includes prep for 3 hinges &amp; cyl lock)</t>
  </si>
  <si>
    <t>New</t>
  </si>
  <si>
    <t>Same as price on page 1</t>
  </si>
  <si>
    <t>38" Euro (Carrara)</t>
  </si>
  <si>
    <r>
      <t>Specialty Building Products</t>
    </r>
    <r>
      <rPr>
        <b/>
        <sz val="15"/>
        <rFont val="Arial"/>
      </rPr>
      <t xml:space="preserve"> (West)</t>
    </r>
  </si>
  <si>
    <t>Specialty Building Products (West)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</si>
</sst>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 \$"/>
    <numFmt numFmtId="165" formatCode="&quot;$&quot;#,##0.00"/>
    <numFmt numFmtId="166" formatCode="#&quot; &quot;??/16"/>
  </numFmts>
  <fonts count="37">
    <font>
      <sz val="10"/>
      <color rgb="FF000000"/>
      <name val="Times New Roman"/>
      <charset val="204"/>
    </font>
    <font>
      <b/>
      <sz val="15"/>
      <name val="Arial"/>
    </font>
    <font>
      <b/>
      <sz val="12"/>
      <name val="Arial"/>
    </font>
    <font>
      <b/>
      <sz val="10.5"/>
      <name val="Arial"/>
    </font>
    <font>
      <b/>
      <sz val="9"/>
      <name val="Arial"/>
    </font>
    <font>
      <b/>
      <sz val="9"/>
      <color rgb="FF000000"/>
      <name val="Arial"/>
      <family val="2"/>
    </font>
    <font>
      <b/>
      <i/>
      <sz val="9"/>
      <name val="Arial"/>
    </font>
    <font>
      <sz val="9"/>
      <name val="Arial"/>
    </font>
    <font>
      <b/>
      <sz val="18"/>
      <name val="Arial"/>
    </font>
    <font>
      <b/>
      <sz val="16"/>
      <name val="Arial"/>
    </font>
    <font>
      <b/>
      <sz val="12"/>
      <color rgb="FF000000"/>
      <name val="Arial"/>
      <family val="2"/>
    </font>
    <font>
      <sz val="12"/>
      <name val="Arial"/>
    </font>
    <font>
      <b/>
      <sz val="15"/>
      <name val="Arial"/>
      <family val="2"/>
    </font>
    <font>
      <b/>
      <sz val="12"/>
      <name val="Arial"/>
      <family val="2"/>
    </font>
    <font>
      <b/>
      <sz val="10.5"/>
      <name val="Arial"/>
      <family val="2"/>
    </font>
    <font>
      <b/>
      <sz val="9"/>
      <name val="Arial"/>
      <family val="2"/>
    </font>
    <font>
      <b/>
      <i/>
      <sz val="9"/>
      <color rgb="FFFF0000"/>
      <name val="Arial"/>
      <family val="2"/>
    </font>
    <font>
      <b/>
      <sz val="16"/>
      <name val="Arial"/>
      <family val="2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CG Omega"/>
      <family val="2"/>
    </font>
    <font>
      <b/>
      <sz val="14"/>
      <name val="Arial"/>
      <family val="2"/>
    </font>
    <font>
      <b/>
      <sz val="11"/>
      <name val="Arial Narrow"/>
      <family val="2"/>
    </font>
    <font>
      <b/>
      <sz val="11"/>
      <name val="Arial"/>
      <family val="2"/>
    </font>
    <font>
      <sz val="11"/>
      <name val="Arial"/>
      <family val="2"/>
    </font>
    <font>
      <b/>
      <sz val="35"/>
      <name val="Arial Black"/>
      <family val="2"/>
    </font>
    <font>
      <sz val="12"/>
      <name val="CG Omega"/>
      <family val="2"/>
    </font>
    <font>
      <sz val="12"/>
      <name val="Arial"/>
      <family val="2"/>
    </font>
    <font>
      <b/>
      <sz val="19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gray0625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8" fillId="0" borderId="0" applyFont="0" applyFill="0" applyBorder="0" applyAlignment="0" applyProtection="0"/>
    <xf numFmtId="165" fontId="23" fillId="0" borderId="0">
      <alignment horizontal="center"/>
    </xf>
    <xf numFmtId="0" fontId="25" fillId="0" borderId="3" applyBorder="0">
      <alignment horizontal="center" vertical="center"/>
    </xf>
    <xf numFmtId="0" fontId="25" fillId="3" borderId="9">
      <alignment horizontal="center" vertical="top"/>
    </xf>
    <xf numFmtId="0" fontId="29" fillId="0" borderId="0"/>
    <xf numFmtId="0" fontId="22" fillId="0" borderId="0"/>
  </cellStyleXfs>
  <cellXfs count="22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13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0" fontId="17" fillId="0" borderId="0" xfId="0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165" fontId="5" fillId="0" borderId="1" xfId="0" applyNumberFormat="1" applyFont="1" applyBorder="1" applyAlignment="1">
      <alignment horizontal="center" vertical="top" shrinkToFit="1"/>
    </xf>
    <xf numFmtId="165" fontId="5" fillId="0" borderId="0" xfId="0" applyNumberFormat="1" applyFont="1" applyAlignment="1">
      <alignment horizontal="center" vertical="top" shrinkToFit="1"/>
    </xf>
    <xf numFmtId="165" fontId="4" fillId="0" borderId="0" xfId="0" applyNumberFormat="1" applyFont="1" applyAlignment="1">
      <alignment horizontal="center" vertical="top" wrapText="1"/>
    </xf>
    <xf numFmtId="165" fontId="0" fillId="0" borderId="0" xfId="0" applyNumberFormat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wrapText="1"/>
    </xf>
    <xf numFmtId="0" fontId="15" fillId="0" borderId="2" xfId="0" applyFont="1" applyBorder="1" applyAlignment="1">
      <alignment horizontal="left" vertical="top" wrapText="1" indent="3"/>
    </xf>
    <xf numFmtId="0" fontId="16" fillId="0" borderId="0" xfId="0" applyFont="1" applyAlignment="1">
      <alignment horizontal="left" vertical="top" wrapText="1" indent="3"/>
    </xf>
    <xf numFmtId="164" fontId="10" fillId="0" borderId="0" xfId="0" applyNumberFormat="1" applyFont="1" applyAlignment="1">
      <alignment vertical="top" shrinkToFit="1"/>
    </xf>
    <xf numFmtId="164" fontId="10" fillId="0" borderId="0" xfId="0" applyNumberFormat="1" applyFont="1" applyAlignment="1">
      <alignment vertical="center" shrinkToFit="1"/>
    </xf>
    <xf numFmtId="165" fontId="10" fillId="0" borderId="0" xfId="0" applyNumberFormat="1" applyFont="1" applyAlignment="1">
      <alignment vertical="top" shrinkToFit="1"/>
    </xf>
    <xf numFmtId="2" fontId="0" fillId="0" borderId="0" xfId="0" applyNumberFormat="1" applyAlignment="1">
      <alignment horizontal="right" vertical="top"/>
    </xf>
    <xf numFmtId="0" fontId="19" fillId="0" borderId="0" xfId="0" applyFont="1" applyAlignment="1">
      <alignment horizontal="left" vertical="top"/>
    </xf>
    <xf numFmtId="10" fontId="19" fillId="0" borderId="0" xfId="1" applyNumberFormat="1" applyFont="1" applyAlignment="1">
      <alignment horizontal="left" vertical="top"/>
    </xf>
    <xf numFmtId="17" fontId="19" fillId="0" borderId="0" xfId="0" applyNumberFormat="1" applyFont="1" applyAlignment="1">
      <alignment horizontal="left" vertical="top"/>
    </xf>
    <xf numFmtId="2" fontId="0" fillId="2" borderId="0" xfId="0" applyNumberFormat="1" applyFill="1" applyAlignment="1">
      <alignment horizontal="right" vertical="top"/>
    </xf>
    <xf numFmtId="0" fontId="15" fillId="0" borderId="0" xfId="0" applyFont="1" applyAlignment="1">
      <alignment horizontal="center" vertical="top" wrapText="1"/>
    </xf>
    <xf numFmtId="0" fontId="20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 wrapText="1"/>
    </xf>
    <xf numFmtId="0" fontId="11" fillId="0" borderId="0" xfId="0" applyFont="1" applyAlignment="1">
      <alignment vertical="top" wrapText="1"/>
    </xf>
    <xf numFmtId="0" fontId="22" fillId="0" borderId="0" xfId="0" applyFont="1" applyAlignment="1">
      <alignment horizontal="center" vertical="top" wrapText="1"/>
    </xf>
    <xf numFmtId="10" fontId="0" fillId="0" borderId="0" xfId="1" applyNumberFormat="1" applyFont="1" applyAlignment="1">
      <alignment horizontal="center" wrapText="1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vertical="center" wrapText="1"/>
    </xf>
    <xf numFmtId="165" fontId="22" fillId="0" borderId="0" xfId="2" applyFont="1" applyAlignment="1">
      <alignment horizontal="center" vertical="center"/>
    </xf>
    <xf numFmtId="0" fontId="26" fillId="0" borderId="4" xfId="3" applyFont="1" applyBorder="1" applyAlignment="1">
      <alignment horizontal="centerContinuous" vertical="center"/>
    </xf>
    <xf numFmtId="0" fontId="26" fillId="0" borderId="0" xfId="3" applyFont="1" applyBorder="1">
      <alignment horizontal="center" vertical="center"/>
    </xf>
    <xf numFmtId="0" fontId="26" fillId="0" borderId="0" xfId="3" applyFont="1" applyBorder="1" applyAlignment="1">
      <alignment horizontal="centerContinuous" vertical="center"/>
    </xf>
    <xf numFmtId="165" fontId="22" fillId="0" borderId="5" xfId="2" applyFont="1" applyBorder="1" applyAlignment="1">
      <alignment horizontal="centerContinuous" vertical="center"/>
    </xf>
    <xf numFmtId="165" fontId="22" fillId="0" borderId="6" xfId="2" applyFont="1" applyBorder="1" applyAlignment="1">
      <alignment horizontal="centerContinuous" vertical="center"/>
    </xf>
    <xf numFmtId="165" fontId="22" fillId="0" borderId="0" xfId="2" applyFont="1" applyAlignment="1">
      <alignment horizontal="centerContinuous" vertical="center"/>
    </xf>
    <xf numFmtId="165" fontId="24" fillId="0" borderId="0" xfId="2" applyFont="1" applyAlignment="1">
      <alignment horizontal="center" vertical="center"/>
    </xf>
    <xf numFmtId="165" fontId="27" fillId="0" borderId="7" xfId="2" applyFont="1" applyBorder="1" applyAlignment="1">
      <alignment horizontal="center" vertical="center"/>
    </xf>
    <xf numFmtId="165" fontId="27" fillId="0" borderId="8" xfId="2" quotePrefix="1" applyFont="1" applyBorder="1" applyAlignment="1">
      <alignment horizontal="center" vertical="center"/>
    </xf>
    <xf numFmtId="165" fontId="27" fillId="0" borderId="0" xfId="2" quotePrefix="1" applyFont="1" applyAlignment="1">
      <alignment horizontal="center" vertical="center"/>
    </xf>
    <xf numFmtId="0" fontId="26" fillId="3" borderId="0" xfId="4" applyFont="1" applyBorder="1" applyAlignment="1">
      <alignment horizontal="center" vertical="center"/>
    </xf>
    <xf numFmtId="0" fontId="26" fillId="0" borderId="3" xfId="3" applyFont="1" applyBorder="1">
      <alignment horizontal="center" vertical="center"/>
    </xf>
    <xf numFmtId="0" fontId="26" fillId="0" borderId="3" xfId="3" applyFont="1" applyBorder="1" applyAlignment="1">
      <alignment horizontal="centerContinuous" vertical="center"/>
    </xf>
    <xf numFmtId="165" fontId="27" fillId="0" borderId="10" xfId="2" applyFont="1" applyBorder="1" applyAlignment="1">
      <alignment horizontal="center" vertical="center"/>
    </xf>
    <xf numFmtId="165" fontId="27" fillId="0" borderId="8" xfId="2" applyFont="1" applyBorder="1" applyAlignment="1">
      <alignment horizontal="center" vertical="center"/>
    </xf>
    <xf numFmtId="165" fontId="22" fillId="0" borderId="11" xfId="2" applyFont="1" applyBorder="1" applyAlignment="1">
      <alignment horizontal="center" vertical="center"/>
    </xf>
    <xf numFmtId="165" fontId="27" fillId="0" borderId="0" xfId="2" applyFont="1" applyAlignment="1">
      <alignment horizontal="center" vertical="center"/>
    </xf>
    <xf numFmtId="0" fontId="30" fillId="0" borderId="0" xfId="5" applyFont="1" applyAlignment="1">
      <alignment vertical="center"/>
    </xf>
    <xf numFmtId="0" fontId="22" fillId="0" borderId="0" xfId="6"/>
    <xf numFmtId="0" fontId="21" fillId="0" borderId="0" xfId="6" applyFont="1" applyAlignment="1">
      <alignment horizontal="center"/>
    </xf>
    <xf numFmtId="0" fontId="22" fillId="0" borderId="0" xfId="6" applyAlignment="1">
      <alignment horizontal="center"/>
    </xf>
    <xf numFmtId="0" fontId="32" fillId="0" borderId="0" xfId="6" applyFont="1" applyAlignment="1">
      <alignment horizontal="left"/>
    </xf>
    <xf numFmtId="0" fontId="24" fillId="0" borderId="0" xfId="6" applyFont="1" applyAlignment="1">
      <alignment horizontal="center"/>
    </xf>
    <xf numFmtId="13" fontId="24" fillId="0" borderId="12" xfId="6" applyNumberFormat="1" applyFont="1" applyBorder="1" applyAlignment="1">
      <alignment horizontal="center" vertical="center"/>
    </xf>
    <xf numFmtId="13" fontId="33" fillId="0" borderId="13" xfId="6" applyNumberFormat="1" applyFont="1" applyBorder="1" applyAlignment="1">
      <alignment horizontal="center" vertical="center"/>
    </xf>
    <xf numFmtId="13" fontId="33" fillId="0" borderId="14" xfId="6" applyNumberFormat="1" applyFont="1" applyBorder="1" applyAlignment="1">
      <alignment horizontal="center" vertical="center"/>
    </xf>
    <xf numFmtId="13" fontId="33" fillId="0" borderId="15" xfId="6" applyNumberFormat="1" applyFont="1" applyBorder="1" applyAlignment="1">
      <alignment horizontal="center" vertical="center"/>
    </xf>
    <xf numFmtId="13" fontId="33" fillId="0" borderId="16" xfId="6" applyNumberFormat="1" applyFont="1" applyBorder="1" applyAlignment="1">
      <alignment horizontal="center" vertical="center"/>
    </xf>
    <xf numFmtId="13" fontId="33" fillId="5" borderId="17" xfId="6" applyNumberFormat="1" applyFont="1" applyFill="1" applyBorder="1" applyAlignment="1">
      <alignment horizontal="center" vertical="center"/>
    </xf>
    <xf numFmtId="13" fontId="33" fillId="5" borderId="18" xfId="6" applyNumberFormat="1" applyFont="1" applyFill="1" applyBorder="1" applyAlignment="1">
      <alignment horizontal="center" vertical="center"/>
    </xf>
    <xf numFmtId="13" fontId="33" fillId="0" borderId="19" xfId="6" applyNumberFormat="1" applyFont="1" applyBorder="1" applyAlignment="1">
      <alignment horizontal="center" vertical="center"/>
    </xf>
    <xf numFmtId="13" fontId="33" fillId="0" borderId="18" xfId="6" applyNumberFormat="1" applyFont="1" applyBorder="1" applyAlignment="1">
      <alignment horizontal="center" vertical="center"/>
    </xf>
    <xf numFmtId="13" fontId="33" fillId="0" borderId="20" xfId="6" applyNumberFormat="1" applyFont="1" applyBorder="1" applyAlignment="1">
      <alignment horizontal="center" vertical="center"/>
    </xf>
    <xf numFmtId="13" fontId="33" fillId="5" borderId="21" xfId="6" applyNumberFormat="1" applyFont="1" applyFill="1" applyBorder="1" applyAlignment="1">
      <alignment horizontal="center" vertical="center"/>
    </xf>
    <xf numFmtId="13" fontId="33" fillId="5" borderId="22" xfId="6" applyNumberFormat="1" applyFont="1" applyFill="1" applyBorder="1" applyAlignment="1">
      <alignment horizontal="center" vertical="center"/>
    </xf>
    <xf numFmtId="13" fontId="33" fillId="0" borderId="23" xfId="6" applyNumberFormat="1" applyFont="1" applyBorder="1" applyAlignment="1">
      <alignment horizontal="center" vertical="center"/>
    </xf>
    <xf numFmtId="13" fontId="33" fillId="0" borderId="22" xfId="6" applyNumberFormat="1" applyFont="1" applyBorder="1" applyAlignment="1">
      <alignment horizontal="center" vertical="center"/>
    </xf>
    <xf numFmtId="13" fontId="33" fillId="0" borderId="24" xfId="6" applyNumberFormat="1" applyFont="1" applyBorder="1" applyAlignment="1">
      <alignment horizontal="center" vertical="center"/>
    </xf>
    <xf numFmtId="13" fontId="33" fillId="5" borderId="19" xfId="6" applyNumberFormat="1" applyFont="1" applyFill="1" applyBorder="1" applyAlignment="1">
      <alignment horizontal="center" vertical="center"/>
    </xf>
    <xf numFmtId="13" fontId="33" fillId="5" borderId="20" xfId="6" applyNumberFormat="1" applyFont="1" applyFill="1" applyBorder="1" applyAlignment="1">
      <alignment horizontal="center" vertical="center"/>
    </xf>
    <xf numFmtId="13" fontId="33" fillId="5" borderId="23" xfId="6" applyNumberFormat="1" applyFont="1" applyFill="1" applyBorder="1" applyAlignment="1">
      <alignment horizontal="center" vertical="center"/>
    </xf>
    <xf numFmtId="13" fontId="33" fillId="5" borderId="24" xfId="6" applyNumberFormat="1" applyFont="1" applyFill="1" applyBorder="1" applyAlignment="1">
      <alignment horizontal="center" vertical="center"/>
    </xf>
    <xf numFmtId="13" fontId="33" fillId="0" borderId="25" xfId="6" applyNumberFormat="1" applyFont="1" applyBorder="1" applyAlignment="1">
      <alignment horizontal="center" vertical="center"/>
    </xf>
    <xf numFmtId="13" fontId="33" fillId="0" borderId="26" xfId="6" applyNumberFormat="1" applyFont="1" applyBorder="1" applyAlignment="1">
      <alignment horizontal="center" vertical="center"/>
    </xf>
    <xf numFmtId="13" fontId="33" fillId="0" borderId="0" xfId="6" applyNumberFormat="1" applyFont="1" applyAlignment="1">
      <alignment horizontal="center" vertical="center"/>
    </xf>
    <xf numFmtId="13" fontId="33" fillId="0" borderId="27" xfId="6" applyNumberFormat="1" applyFont="1" applyBorder="1" applyAlignment="1">
      <alignment horizontal="center" vertical="center"/>
    </xf>
    <xf numFmtId="13" fontId="33" fillId="0" borderId="17" xfId="6" applyNumberFormat="1" applyFont="1" applyBorder="1" applyAlignment="1">
      <alignment horizontal="center" vertical="center"/>
    </xf>
    <xf numFmtId="13" fontId="33" fillId="5" borderId="25" xfId="6" applyNumberFormat="1" applyFont="1" applyFill="1" applyBorder="1" applyAlignment="1">
      <alignment horizontal="center" vertical="center"/>
    </xf>
    <xf numFmtId="13" fontId="33" fillId="5" borderId="26" xfId="6" applyNumberFormat="1" applyFont="1" applyFill="1" applyBorder="1" applyAlignment="1">
      <alignment horizontal="center" vertical="center"/>
    </xf>
    <xf numFmtId="13" fontId="33" fillId="0" borderId="29" xfId="6" applyNumberFormat="1" applyFont="1" applyBorder="1" applyAlignment="1">
      <alignment horizontal="center" vertical="center"/>
    </xf>
    <xf numFmtId="13" fontId="33" fillId="0" borderId="28" xfId="6" applyNumberFormat="1" applyFont="1" applyBorder="1" applyAlignment="1">
      <alignment horizontal="center" vertical="center"/>
    </xf>
    <xf numFmtId="13" fontId="33" fillId="0" borderId="30" xfId="6" applyNumberFormat="1" applyFont="1" applyBorder="1" applyAlignment="1">
      <alignment horizontal="center" vertical="center"/>
    </xf>
    <xf numFmtId="13" fontId="33" fillId="0" borderId="31" xfId="6" applyNumberFormat="1" applyFont="1" applyBorder="1" applyAlignment="1">
      <alignment horizontal="center" vertical="center"/>
    </xf>
    <xf numFmtId="166" fontId="33" fillId="0" borderId="22" xfId="6" applyNumberFormat="1" applyFont="1" applyBorder="1" applyAlignment="1">
      <alignment horizontal="center" vertical="center"/>
    </xf>
    <xf numFmtId="0" fontId="33" fillId="0" borderId="13" xfId="6" applyFont="1" applyBorder="1" applyAlignment="1">
      <alignment horizontal="center" vertical="center"/>
    </xf>
    <xf numFmtId="0" fontId="33" fillId="0" borderId="14" xfId="6" applyFont="1" applyBorder="1" applyAlignment="1">
      <alignment horizontal="center" vertical="center"/>
    </xf>
    <xf numFmtId="12" fontId="33" fillId="0" borderId="15" xfId="6" applyNumberFormat="1" applyFont="1" applyBorder="1" applyAlignment="1">
      <alignment horizontal="center" vertical="center"/>
    </xf>
    <xf numFmtId="0" fontId="33" fillId="0" borderId="15" xfId="6" applyFont="1" applyBorder="1" applyAlignment="1">
      <alignment horizontal="center" vertical="center"/>
    </xf>
    <xf numFmtId="12" fontId="33" fillId="0" borderId="14" xfId="6" applyNumberFormat="1" applyFont="1" applyBorder="1" applyAlignment="1">
      <alignment horizontal="center" vertical="center"/>
    </xf>
    <xf numFmtId="12" fontId="33" fillId="0" borderId="16" xfId="6" applyNumberFormat="1" applyFont="1" applyBorder="1" applyAlignment="1">
      <alignment horizontal="center" vertical="center"/>
    </xf>
    <xf numFmtId="0" fontId="33" fillId="0" borderId="17" xfId="6" applyFont="1" applyBorder="1" applyAlignment="1">
      <alignment horizontal="center" vertical="center"/>
    </xf>
    <xf numFmtId="0" fontId="33" fillId="0" borderId="18" xfId="6" applyFont="1" applyBorder="1" applyAlignment="1">
      <alignment horizontal="center" vertical="center"/>
    </xf>
    <xf numFmtId="12" fontId="33" fillId="0" borderId="19" xfId="6" applyNumberFormat="1" applyFont="1" applyBorder="1" applyAlignment="1">
      <alignment horizontal="center" vertical="center"/>
    </xf>
    <xf numFmtId="0" fontId="33" fillId="0" borderId="19" xfId="6" applyFont="1" applyBorder="1" applyAlignment="1">
      <alignment horizontal="center" vertical="center"/>
    </xf>
    <xf numFmtId="12" fontId="33" fillId="0" borderId="18" xfId="6" applyNumberFormat="1" applyFont="1" applyBorder="1" applyAlignment="1">
      <alignment horizontal="center" vertical="center"/>
    </xf>
    <xf numFmtId="12" fontId="33" fillId="0" borderId="20" xfId="6" applyNumberFormat="1" applyFont="1" applyBorder="1" applyAlignment="1">
      <alignment horizontal="center" vertical="center"/>
    </xf>
    <xf numFmtId="13" fontId="33" fillId="0" borderId="33" xfId="6" applyNumberFormat="1" applyFont="1" applyBorder="1" applyAlignment="1">
      <alignment horizontal="center" vertical="center"/>
    </xf>
    <xf numFmtId="13" fontId="33" fillId="0" borderId="34" xfId="6" applyNumberFormat="1" applyFont="1" applyBorder="1" applyAlignment="1">
      <alignment horizontal="center" vertical="center"/>
    </xf>
    <xf numFmtId="13" fontId="33" fillId="0" borderId="35" xfId="6" applyNumberFormat="1" applyFont="1" applyBorder="1" applyAlignment="1">
      <alignment horizontal="center" vertical="center"/>
    </xf>
    <xf numFmtId="13" fontId="33" fillId="0" borderId="36" xfId="6" applyNumberFormat="1" applyFont="1" applyBorder="1" applyAlignment="1">
      <alignment horizontal="center" vertical="center"/>
    </xf>
    <xf numFmtId="0" fontId="33" fillId="0" borderId="29" xfId="6" applyFont="1" applyBorder="1" applyAlignment="1">
      <alignment horizontal="center"/>
    </xf>
    <xf numFmtId="0" fontId="33" fillId="5" borderId="37" xfId="6" applyFont="1" applyFill="1" applyBorder="1" applyAlignment="1">
      <alignment horizontal="center"/>
    </xf>
    <xf numFmtId="0" fontId="33" fillId="0" borderId="39" xfId="6" applyFont="1" applyBorder="1" applyAlignment="1">
      <alignment horizontal="center"/>
    </xf>
    <xf numFmtId="13" fontId="33" fillId="0" borderId="40" xfId="6" applyNumberFormat="1" applyFont="1" applyBorder="1" applyAlignment="1">
      <alignment horizontal="center" vertical="center"/>
    </xf>
    <xf numFmtId="0" fontId="34" fillId="0" borderId="0" xfId="6" applyFont="1" applyAlignment="1">
      <alignment horizontal="left" vertical="center"/>
    </xf>
    <xf numFmtId="0" fontId="22" fillId="0" borderId="0" xfId="6" applyAlignment="1">
      <alignment horizontal="right"/>
    </xf>
    <xf numFmtId="0" fontId="21" fillId="0" borderId="0" xfId="6" applyFont="1" applyAlignment="1">
      <alignment horizontal="left"/>
    </xf>
    <xf numFmtId="17" fontId="22" fillId="0" borderId="0" xfId="6" quotePrefix="1" applyNumberFormat="1" applyAlignment="1">
      <alignment horizontal="center"/>
    </xf>
    <xf numFmtId="0" fontId="22" fillId="0" borderId="0" xfId="6" quotePrefix="1" applyAlignment="1">
      <alignment horizontal="center"/>
    </xf>
    <xf numFmtId="14" fontId="22" fillId="0" borderId="0" xfId="6" applyNumberFormat="1" applyAlignment="1">
      <alignment horizontal="center"/>
    </xf>
    <xf numFmtId="0" fontId="22" fillId="0" borderId="0" xfId="6" applyAlignment="1">
      <alignment horizontal="left"/>
    </xf>
    <xf numFmtId="0" fontId="30" fillId="0" borderId="0" xfId="5" applyFont="1"/>
    <xf numFmtId="0" fontId="35" fillId="0" borderId="0" xfId="6" applyFont="1" applyAlignment="1">
      <alignment horizontal="left"/>
    </xf>
    <xf numFmtId="13" fontId="21" fillId="0" borderId="44" xfId="6" applyNumberFormat="1" applyFont="1" applyBorder="1" applyAlignment="1">
      <alignment horizontal="center" vertical="center"/>
    </xf>
    <xf numFmtId="13" fontId="34" fillId="5" borderId="14" xfId="6" applyNumberFormat="1" applyFont="1" applyFill="1" applyBorder="1" applyAlignment="1">
      <alignment horizontal="center" vertical="center"/>
    </xf>
    <xf numFmtId="13" fontId="34" fillId="5" borderId="15" xfId="6" applyNumberFormat="1" applyFont="1" applyFill="1" applyBorder="1" applyAlignment="1">
      <alignment horizontal="center" vertical="center"/>
    </xf>
    <xf numFmtId="13" fontId="34" fillId="0" borderId="15" xfId="6" applyNumberFormat="1" applyFont="1" applyBorder="1" applyAlignment="1">
      <alignment horizontal="center" vertical="center"/>
    </xf>
    <xf numFmtId="13" fontId="34" fillId="0" borderId="14" xfId="6" applyNumberFormat="1" applyFont="1" applyBorder="1" applyAlignment="1">
      <alignment horizontal="center" vertical="center"/>
    </xf>
    <xf numFmtId="13" fontId="34" fillId="0" borderId="16" xfId="6" applyNumberFormat="1" applyFont="1" applyBorder="1" applyAlignment="1">
      <alignment horizontal="center" vertical="center"/>
    </xf>
    <xf numFmtId="13" fontId="34" fillId="5" borderId="18" xfId="6" applyNumberFormat="1" applyFont="1" applyFill="1" applyBorder="1" applyAlignment="1">
      <alignment horizontal="center" vertical="center"/>
    </xf>
    <xf numFmtId="13" fontId="34" fillId="5" borderId="19" xfId="6" applyNumberFormat="1" applyFont="1" applyFill="1" applyBorder="1" applyAlignment="1">
      <alignment horizontal="center" vertical="center"/>
    </xf>
    <xf numFmtId="13" fontId="34" fillId="0" borderId="19" xfId="6" applyNumberFormat="1" applyFont="1" applyBorder="1" applyAlignment="1">
      <alignment horizontal="center" vertical="center"/>
    </xf>
    <xf numFmtId="13" fontId="34" fillId="0" borderId="18" xfId="6" applyNumberFormat="1" applyFont="1" applyBorder="1" applyAlignment="1">
      <alignment horizontal="center" vertical="center"/>
    </xf>
    <xf numFmtId="13" fontId="34" fillId="0" borderId="20" xfId="6" applyNumberFormat="1" applyFont="1" applyBorder="1" applyAlignment="1">
      <alignment horizontal="center" vertical="center"/>
    </xf>
    <xf numFmtId="13" fontId="34" fillId="5" borderId="22" xfId="6" applyNumberFormat="1" applyFont="1" applyFill="1" applyBorder="1" applyAlignment="1">
      <alignment horizontal="center" vertical="center"/>
    </xf>
    <xf numFmtId="13" fontId="34" fillId="5" borderId="23" xfId="6" applyNumberFormat="1" applyFont="1" applyFill="1" applyBorder="1" applyAlignment="1">
      <alignment horizontal="center" vertical="center"/>
    </xf>
    <xf numFmtId="13" fontId="34" fillId="5" borderId="24" xfId="6" applyNumberFormat="1" applyFont="1" applyFill="1" applyBorder="1" applyAlignment="1">
      <alignment horizontal="center" vertical="center"/>
    </xf>
    <xf numFmtId="13" fontId="36" fillId="5" borderId="18" xfId="6" applyNumberFormat="1" applyFont="1" applyFill="1" applyBorder="1" applyAlignment="1">
      <alignment horizontal="center" vertical="center"/>
    </xf>
    <xf numFmtId="13" fontId="36" fillId="5" borderId="19" xfId="6" applyNumberFormat="1" applyFont="1" applyFill="1" applyBorder="1" applyAlignment="1">
      <alignment horizontal="center" vertical="center"/>
    </xf>
    <xf numFmtId="13" fontId="36" fillId="5" borderId="20" xfId="6" applyNumberFormat="1" applyFont="1" applyFill="1" applyBorder="1" applyAlignment="1">
      <alignment horizontal="center" vertical="center"/>
    </xf>
    <xf numFmtId="13" fontId="36" fillId="5" borderId="22" xfId="6" applyNumberFormat="1" applyFont="1" applyFill="1" applyBorder="1" applyAlignment="1">
      <alignment horizontal="center" vertical="center"/>
    </xf>
    <xf numFmtId="13" fontId="36" fillId="5" borderId="23" xfId="6" applyNumberFormat="1" applyFont="1" applyFill="1" applyBorder="1" applyAlignment="1">
      <alignment horizontal="center" vertical="center"/>
    </xf>
    <xf numFmtId="13" fontId="36" fillId="5" borderId="24" xfId="6" applyNumberFormat="1" applyFont="1" applyFill="1" applyBorder="1" applyAlignment="1">
      <alignment horizontal="center" vertical="center"/>
    </xf>
    <xf numFmtId="13" fontId="34" fillId="0" borderId="26" xfId="6" applyNumberFormat="1" applyFont="1" applyBorder="1" applyAlignment="1">
      <alignment horizontal="center" vertical="center"/>
    </xf>
    <xf numFmtId="13" fontId="34" fillId="0" borderId="0" xfId="6" applyNumberFormat="1" applyFont="1" applyAlignment="1">
      <alignment horizontal="center" vertical="center"/>
    </xf>
    <xf numFmtId="13" fontId="34" fillId="0" borderId="27" xfId="6" applyNumberFormat="1" applyFont="1" applyBorder="1" applyAlignment="1">
      <alignment horizontal="center" vertical="center"/>
    </xf>
    <xf numFmtId="13" fontId="34" fillId="5" borderId="26" xfId="6" applyNumberFormat="1" applyFont="1" applyFill="1" applyBorder="1" applyAlignment="1">
      <alignment horizontal="center" vertical="center"/>
    </xf>
    <xf numFmtId="13" fontId="34" fillId="5" borderId="0" xfId="6" applyNumberFormat="1" applyFont="1" applyFill="1" applyAlignment="1">
      <alignment horizontal="center" vertical="center"/>
    </xf>
    <xf numFmtId="13" fontId="34" fillId="0" borderId="28" xfId="6" applyNumberFormat="1" applyFont="1" applyBorder="1" applyAlignment="1">
      <alignment horizontal="center" vertical="center"/>
    </xf>
    <xf numFmtId="13" fontId="34" fillId="0" borderId="30" xfId="6" applyNumberFormat="1" applyFont="1" applyBorder="1" applyAlignment="1">
      <alignment horizontal="center" vertical="center"/>
    </xf>
    <xf numFmtId="13" fontId="34" fillId="0" borderId="31" xfId="6" applyNumberFormat="1" applyFont="1" applyBorder="1" applyAlignment="1">
      <alignment horizontal="center" vertical="center"/>
    </xf>
    <xf numFmtId="13" fontId="34" fillId="0" borderId="22" xfId="6" applyNumberFormat="1" applyFont="1" applyBorder="1" applyAlignment="1">
      <alignment horizontal="center" vertical="center"/>
    </xf>
    <xf numFmtId="13" fontId="34" fillId="0" borderId="23" xfId="6" applyNumberFormat="1" applyFont="1" applyBorder="1" applyAlignment="1">
      <alignment horizontal="center" vertical="center"/>
    </xf>
    <xf numFmtId="13" fontId="34" fillId="0" borderId="24" xfId="6" applyNumberFormat="1" applyFont="1" applyBorder="1" applyAlignment="1">
      <alignment horizontal="center" vertical="center"/>
    </xf>
    <xf numFmtId="13" fontId="34" fillId="5" borderId="28" xfId="6" applyNumberFormat="1" applyFont="1" applyFill="1" applyBorder="1" applyAlignment="1">
      <alignment horizontal="center" vertical="center"/>
    </xf>
    <xf numFmtId="13" fontId="34" fillId="5" borderId="30" xfId="6" applyNumberFormat="1" applyFont="1" applyFill="1" applyBorder="1" applyAlignment="1">
      <alignment horizontal="center" vertical="center"/>
    </xf>
    <xf numFmtId="0" fontId="34" fillId="0" borderId="14" xfId="6" applyFont="1" applyBorder="1" applyAlignment="1">
      <alignment horizontal="center" vertical="center"/>
    </xf>
    <xf numFmtId="12" fontId="34" fillId="0" borderId="15" xfId="6" applyNumberFormat="1" applyFont="1" applyBorder="1" applyAlignment="1">
      <alignment horizontal="center" vertical="center"/>
    </xf>
    <xf numFmtId="12" fontId="34" fillId="0" borderId="14" xfId="6" applyNumberFormat="1" applyFont="1" applyBorder="1" applyAlignment="1">
      <alignment horizontal="center" vertical="center"/>
    </xf>
    <xf numFmtId="12" fontId="34" fillId="0" borderId="16" xfId="6" applyNumberFormat="1" applyFont="1" applyBorder="1" applyAlignment="1">
      <alignment horizontal="center" vertical="center"/>
    </xf>
    <xf numFmtId="0" fontId="34" fillId="0" borderId="18" xfId="6" applyFont="1" applyBorder="1" applyAlignment="1">
      <alignment horizontal="center" vertical="center"/>
    </xf>
    <xf numFmtId="12" fontId="34" fillId="0" borderId="19" xfId="6" applyNumberFormat="1" applyFont="1" applyBorder="1" applyAlignment="1">
      <alignment horizontal="center" vertical="center"/>
    </xf>
    <xf numFmtId="12" fontId="34" fillId="0" borderId="18" xfId="6" applyNumberFormat="1" applyFont="1" applyBorder="1" applyAlignment="1">
      <alignment horizontal="center" vertical="center"/>
    </xf>
    <xf numFmtId="12" fontId="34" fillId="0" borderId="20" xfId="6" applyNumberFormat="1" applyFont="1" applyBorder="1" applyAlignment="1">
      <alignment horizontal="center" vertical="center"/>
    </xf>
    <xf numFmtId="0" fontId="22" fillId="0" borderId="29" xfId="6" applyBorder="1" applyAlignment="1">
      <alignment horizontal="center"/>
    </xf>
    <xf numFmtId="0" fontId="22" fillId="5" borderId="38" xfId="6" applyFill="1" applyBorder="1" applyAlignment="1">
      <alignment horizontal="center"/>
    </xf>
    <xf numFmtId="0" fontId="22" fillId="0" borderId="39" xfId="6" applyBorder="1" applyAlignment="1">
      <alignment horizontal="center"/>
    </xf>
    <xf numFmtId="13" fontId="36" fillId="0" borderId="45" xfId="6" applyNumberFormat="1" applyFont="1" applyBorder="1" applyAlignment="1">
      <alignment horizontal="center" vertical="center"/>
    </xf>
    <xf numFmtId="17" fontId="22" fillId="0" borderId="0" xfId="6" applyNumberFormat="1" applyAlignment="1">
      <alignment horizontal="center"/>
    </xf>
    <xf numFmtId="0" fontId="2" fillId="0" borderId="0" xfId="0" applyFont="1" applyAlignment="1">
      <alignment horizontal="left" vertical="top" wrapText="1" indent="3"/>
    </xf>
    <xf numFmtId="0" fontId="2" fillId="0" borderId="0" xfId="0" applyFont="1" applyAlignment="1">
      <alignment horizontal="left" vertical="top" indent="3"/>
    </xf>
    <xf numFmtId="2" fontId="0" fillId="7" borderId="0" xfId="0" applyNumberFormat="1" applyFill="1" applyAlignment="1">
      <alignment wrapText="1"/>
    </xf>
    <xf numFmtId="0" fontId="0" fillId="7" borderId="0" xfId="0" applyFill="1" applyAlignment="1">
      <alignment horizontal="left" vertical="top"/>
    </xf>
    <xf numFmtId="2" fontId="0" fillId="7" borderId="0" xfId="0" applyNumberFormat="1" applyFill="1" applyAlignment="1">
      <alignment horizontal="right" vertical="top"/>
    </xf>
    <xf numFmtId="0" fontId="15" fillId="0" borderId="0" xfId="0" applyFont="1" applyAlignment="1">
      <alignment horizontal="left" vertical="top" wrapText="1" indent="3"/>
    </xf>
    <xf numFmtId="0" fontId="4" fillId="0" borderId="0" xfId="0" applyFont="1" applyAlignment="1">
      <alignment horizontal="left" vertical="top" wrapText="1" indent="3"/>
    </xf>
    <xf numFmtId="0" fontId="13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 vertical="top" wrapText="1" indent="3"/>
    </xf>
    <xf numFmtId="0" fontId="6" fillId="0" borderId="0" xfId="0" applyFont="1" applyAlignment="1">
      <alignment horizontal="left" vertical="top" wrapText="1" indent="3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7" fillId="0" borderId="0" xfId="0" applyFont="1" applyAlignment="1">
      <alignment horizontal="right" wrapText="1" indent="7"/>
    </xf>
    <xf numFmtId="0" fontId="2" fillId="0" borderId="0" xfId="0" applyFont="1" applyAlignment="1">
      <alignment horizontal="left" vertical="top" wrapText="1" indent="3"/>
    </xf>
    <xf numFmtId="0" fontId="2" fillId="0" borderId="0" xfId="0" applyFont="1" applyAlignment="1">
      <alignment horizontal="left" vertical="center" wrapText="1" indent="3"/>
    </xf>
    <xf numFmtId="165" fontId="22" fillId="0" borderId="0" xfId="2" applyFont="1" applyAlignment="1">
      <alignment horizontal="center" vertical="center"/>
    </xf>
    <xf numFmtId="165" fontId="24" fillId="0" borderId="0" xfId="2" applyFont="1" applyAlignment="1">
      <alignment horizontal="center" vertical="center" textRotation="90"/>
    </xf>
    <xf numFmtId="165" fontId="28" fillId="0" borderId="0" xfId="2" applyFont="1" applyAlignment="1">
      <alignment horizontal="center" vertical="center" textRotation="90"/>
    </xf>
    <xf numFmtId="0" fontId="24" fillId="0" borderId="12" xfId="6" applyFont="1" applyBorder="1" applyAlignment="1">
      <alignment horizontal="center" vertical="center"/>
    </xf>
    <xf numFmtId="0" fontId="12" fillId="0" borderId="0" xfId="6" applyFont="1" applyAlignment="1">
      <alignment horizontal="center" vertical="top"/>
    </xf>
    <xf numFmtId="0" fontId="31" fillId="4" borderId="0" xfId="6" applyFont="1" applyFill="1" applyAlignment="1">
      <alignment horizontal="center" vertical="center"/>
    </xf>
    <xf numFmtId="0" fontId="24" fillId="0" borderId="28" xfId="6" applyFont="1" applyBorder="1" applyAlignment="1">
      <alignment horizontal="center" vertical="center" wrapText="1"/>
    </xf>
    <xf numFmtId="0" fontId="24" fillId="0" borderId="26" xfId="6" applyFont="1" applyBorder="1" applyAlignment="1">
      <alignment horizontal="center" vertical="center" wrapText="1"/>
    </xf>
    <xf numFmtId="0" fontId="24" fillId="0" borderId="32" xfId="6" applyFont="1" applyBorder="1" applyAlignment="1">
      <alignment horizontal="center" vertical="center" wrapText="1"/>
    </xf>
    <xf numFmtId="0" fontId="24" fillId="0" borderId="28" xfId="6" applyFont="1" applyBorder="1" applyAlignment="1">
      <alignment horizontal="center" vertical="center"/>
    </xf>
    <xf numFmtId="0" fontId="24" fillId="0" borderId="26" xfId="6" applyFont="1" applyBorder="1" applyAlignment="1">
      <alignment horizontal="center" vertical="center"/>
    </xf>
    <xf numFmtId="0" fontId="24" fillId="0" borderId="32" xfId="6" applyFont="1" applyBorder="1" applyAlignment="1">
      <alignment horizontal="center" vertical="center"/>
    </xf>
    <xf numFmtId="0" fontId="33" fillId="0" borderId="38" xfId="6" applyFont="1" applyBorder="1" applyAlignment="1">
      <alignment horizontal="left" vertical="center" wrapText="1"/>
    </xf>
    <xf numFmtId="0" fontId="33" fillId="0" borderId="15" xfId="6" applyFont="1" applyBorder="1" applyAlignment="1">
      <alignment vertical="center" wrapText="1"/>
    </xf>
    <xf numFmtId="0" fontId="33" fillId="0" borderId="16" xfId="6" applyFont="1" applyBorder="1" applyAlignment="1">
      <alignment vertical="center" wrapText="1"/>
    </xf>
    <xf numFmtId="0" fontId="33" fillId="0" borderId="41" xfId="6" applyFont="1" applyBorder="1" applyAlignment="1">
      <alignment horizontal="left" vertical="center" wrapText="1"/>
    </xf>
    <xf numFmtId="0" fontId="33" fillId="0" borderId="42" xfId="6" applyFont="1" applyBorder="1" applyAlignment="1">
      <alignment vertical="center" wrapText="1"/>
    </xf>
    <xf numFmtId="0" fontId="33" fillId="0" borderId="43" xfId="6" applyFont="1" applyBorder="1" applyAlignment="1">
      <alignment vertical="center" wrapText="1"/>
    </xf>
    <xf numFmtId="14" fontId="22" fillId="0" borderId="0" xfId="6" applyNumberFormat="1" applyAlignment="1">
      <alignment horizontal="center"/>
    </xf>
    <xf numFmtId="0" fontId="22" fillId="0" borderId="0" xfId="6" applyAlignment="1">
      <alignment horizontal="center"/>
    </xf>
    <xf numFmtId="0" fontId="22" fillId="0" borderId="0" xfId="6" applyAlignment="1">
      <alignment horizontal="left" wrapText="1"/>
    </xf>
    <xf numFmtId="0" fontId="22" fillId="0" borderId="0" xfId="6"/>
    <xf numFmtId="0" fontId="21" fillId="0" borderId="12" xfId="6" applyFont="1" applyBorder="1" applyAlignment="1">
      <alignment horizontal="center" vertical="center"/>
    </xf>
    <xf numFmtId="0" fontId="12" fillId="0" borderId="0" xfId="6" applyFont="1" applyAlignment="1">
      <alignment horizontal="left" vertical="center"/>
    </xf>
    <xf numFmtId="0" fontId="33" fillId="0" borderId="0" xfId="6" applyFont="1" applyAlignment="1">
      <alignment horizontal="left" vertical="center"/>
    </xf>
    <xf numFmtId="0" fontId="31" fillId="6" borderId="0" xfId="6" applyFont="1" applyFill="1" applyAlignment="1">
      <alignment horizontal="center" wrapText="1"/>
    </xf>
    <xf numFmtId="0" fontId="31" fillId="6" borderId="0" xfId="6" applyFont="1" applyFill="1" applyAlignment="1">
      <alignment horizontal="center"/>
    </xf>
    <xf numFmtId="0" fontId="21" fillId="0" borderId="28" xfId="6" applyFont="1" applyBorder="1" applyAlignment="1">
      <alignment horizontal="center" vertical="center" wrapText="1"/>
    </xf>
    <xf numFmtId="0" fontId="21" fillId="0" borderId="26" xfId="6" applyFont="1" applyBorder="1" applyAlignment="1">
      <alignment horizontal="center" vertical="center" wrapText="1"/>
    </xf>
    <xf numFmtId="0" fontId="21" fillId="0" borderId="32" xfId="6" applyFont="1" applyBorder="1" applyAlignment="1">
      <alignment horizontal="center" vertical="center" wrapText="1"/>
    </xf>
    <xf numFmtId="0" fontId="21" fillId="0" borderId="28" xfId="6" applyFont="1" applyBorder="1" applyAlignment="1">
      <alignment horizontal="center" vertical="center"/>
    </xf>
    <xf numFmtId="0" fontId="21" fillId="0" borderId="26" xfId="6" applyFont="1" applyBorder="1" applyAlignment="1">
      <alignment horizontal="center" vertical="center"/>
    </xf>
    <xf numFmtId="0" fontId="21" fillId="0" borderId="32" xfId="6" applyFont="1" applyBorder="1" applyAlignment="1">
      <alignment horizontal="center" vertical="center"/>
    </xf>
    <xf numFmtId="0" fontId="34" fillId="0" borderId="13" xfId="6" applyFont="1" applyBorder="1" applyAlignment="1">
      <alignment horizontal="left" vertical="center" wrapText="1"/>
    </xf>
    <xf numFmtId="0" fontId="34" fillId="0" borderId="15" xfId="6" applyFont="1" applyBorder="1" applyAlignment="1">
      <alignment horizontal="left" vertical="center" wrapText="1"/>
    </xf>
    <xf numFmtId="0" fontId="34" fillId="0" borderId="16" xfId="6" applyFont="1" applyBorder="1" applyAlignment="1">
      <alignment horizontal="left" vertical="center" wrapText="1"/>
    </xf>
    <xf numFmtId="0" fontId="34" fillId="0" borderId="21" xfId="6" applyFont="1" applyBorder="1" applyAlignment="1">
      <alignment horizontal="left" vertical="center" wrapText="1"/>
    </xf>
    <xf numFmtId="0" fontId="34" fillId="0" borderId="23" xfId="6" applyFont="1" applyBorder="1" applyAlignment="1">
      <alignment horizontal="left" vertical="center" wrapText="1"/>
    </xf>
    <xf numFmtId="0" fontId="34" fillId="0" borderId="24" xfId="6" applyFont="1" applyBorder="1" applyAlignment="1">
      <alignment horizontal="left" vertical="center" wrapText="1"/>
    </xf>
  </cellXfs>
  <cellStyles count="7">
    <cellStyle name="Normal" xfId="0" builtinId="0"/>
    <cellStyle name="Normal 2 3" xfId="6" xr:uid="{BC2A938D-B14F-4000-939C-43AC3C3FF7B2}"/>
    <cellStyle name="Normal 5" xfId="5" xr:uid="{84212D9F-BA06-4ED9-BC2E-64472C749EB8}"/>
    <cellStyle name="Normal_PRIX CAT FRANC" xfId="2" xr:uid="{CE1CF95A-F206-435F-9051-99DC44F72522}"/>
    <cellStyle name="Percent" xfId="1" builtinId="5"/>
    <cellStyle name="titre_trame" xfId="3" xr:uid="{FEEEBBFF-B88B-41B7-8A24-16DF23727A79}"/>
    <cellStyle name="titre4_2" xfId="4" xr:uid="{E8CCB5D0-870B-4879-9BFF-27BB6AC4AD1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image" Target="../media/image10.emf"/><Relationship Id="rId11" Type="http://schemas.openxmlformats.org/officeDocument/2006/relationships/image" Target="../media/image14.png"/><Relationship Id="rId5" Type="http://schemas.openxmlformats.org/officeDocument/2006/relationships/image" Target="../media/image9.png"/><Relationship Id="rId10" Type="http://schemas.openxmlformats.org/officeDocument/2006/relationships/image" Target="cid:image002.png@01D466D7.2BBAC810" TargetMode="External"/><Relationship Id="rId4" Type="http://schemas.openxmlformats.org/officeDocument/2006/relationships/image" Target="../media/image8.jpeg"/><Relationship Id="rId9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180213</xdr:colOff>
      <xdr:row>0</xdr:row>
      <xdr:rowOff>78816</xdr:rowOff>
    </xdr:from>
    <xdr:ext cx="2185670" cy="420166"/>
    <xdr:pic>
      <xdr:nvPicPr>
        <xdr:cNvPr id="2" name="image1.png">
          <a:extLst>
            <a:ext uri="{FF2B5EF4-FFF2-40B4-BE49-F238E27FC236}">
              <a16:creationId xmlns:a16="http://schemas.microsoft.com/office/drawing/2014/main" id="{F9163F6E-B50E-47EE-B9F1-0DC816CD0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4513" y="78816"/>
          <a:ext cx="2185670" cy="420166"/>
        </a:xfrm>
        <a:prstGeom prst="rect">
          <a:avLst/>
        </a:prstGeom>
      </xdr:spPr>
    </xdr:pic>
    <xdr:clientData/>
  </xdr:oneCellAnchor>
  <xdr:twoCellAnchor editAs="oneCell">
    <xdr:from>
      <xdr:col>19</xdr:col>
      <xdr:colOff>387350</xdr:colOff>
      <xdr:row>8</xdr:row>
      <xdr:rowOff>6350</xdr:rowOff>
    </xdr:from>
    <xdr:to>
      <xdr:col>31</xdr:col>
      <xdr:colOff>127331</xdr:colOff>
      <xdr:row>29</xdr:row>
      <xdr:rowOff>120876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DD68ED-8452-6933-E5AB-06EF77340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0" y="2654300"/>
          <a:ext cx="6445581" cy="4407126"/>
        </a:xfrm>
        <a:prstGeom prst="rect">
          <a:avLst/>
        </a:prstGeom>
      </xdr:spPr>
    </xdr:pic>
    <xdr:clientData/>
  </xdr:twoCellAnchor>
  <xdr:twoCellAnchor editAs="oneCell">
    <xdr:from>
      <xdr:col>19</xdr:col>
      <xdr:colOff>333375</xdr:colOff>
      <xdr:row>1</xdr:row>
      <xdr:rowOff>257175</xdr:rowOff>
    </xdr:from>
    <xdr:to>
      <xdr:col>42</xdr:col>
      <xdr:colOff>326365</xdr:colOff>
      <xdr:row>6</xdr:row>
      <xdr:rowOff>134236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FBF2AE-4C56-CE99-0310-912312DCE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25525" y="809625"/>
          <a:ext cx="12261190" cy="16201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192913</xdr:colOff>
      <xdr:row>0</xdr:row>
      <xdr:rowOff>78816</xdr:rowOff>
    </xdr:from>
    <xdr:ext cx="2185670" cy="420166"/>
    <xdr:pic>
      <xdr:nvPicPr>
        <xdr:cNvPr id="2" name="image1.png">
          <a:extLst>
            <a:ext uri="{FF2B5EF4-FFF2-40B4-BE49-F238E27FC236}">
              <a16:creationId xmlns:a16="http://schemas.microsoft.com/office/drawing/2014/main" id="{C9836A2C-8BE4-4B96-9A6E-57F879ECC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213" y="78816"/>
          <a:ext cx="2185670" cy="42016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2379853</xdr:colOff>
      <xdr:row>0</xdr:row>
      <xdr:rowOff>144780</xdr:rowOff>
    </xdr:from>
    <xdr:ext cx="2185670" cy="420166"/>
    <xdr:pic>
      <xdr:nvPicPr>
        <xdr:cNvPr id="2" name="image1.png">
          <a:extLst>
            <a:ext uri="{FF2B5EF4-FFF2-40B4-BE49-F238E27FC236}">
              <a16:creationId xmlns:a16="http://schemas.microsoft.com/office/drawing/2014/main" id="{BF8C844A-8B2D-4B7E-A376-519012B89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9853" y="144780"/>
          <a:ext cx="2185670" cy="420166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2</xdr:row>
      <xdr:rowOff>123825</xdr:rowOff>
    </xdr:from>
    <xdr:to>
      <xdr:col>42</xdr:col>
      <xdr:colOff>316826</xdr:colOff>
      <xdr:row>7</xdr:row>
      <xdr:rowOff>247953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F9B81C-90CD-AEB7-D26F-FBD419FCF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43975" y="1152525"/>
          <a:ext cx="17919026" cy="21720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188322</xdr:colOff>
      <xdr:row>1</xdr:row>
      <xdr:rowOff>83820</xdr:rowOff>
    </xdr:from>
    <xdr:to>
      <xdr:col>1</xdr:col>
      <xdr:colOff>1026522</xdr:colOff>
      <xdr:row>6</xdr:row>
      <xdr:rowOff>83819</xdr:rowOff>
    </xdr:to>
    <xdr:pic>
      <xdr:nvPicPr>
        <xdr:cNvPr id="2" name="Picture 1" descr="bostonian">
          <a:extLst>
            <a:ext uri="{FF2B5EF4-FFF2-40B4-BE49-F238E27FC236}">
              <a16:creationId xmlns:a16="http://schemas.microsoft.com/office/drawing/2014/main" id="{0736D579-8FD9-4C78-A423-3126D7AAECD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822" y="1163320"/>
          <a:ext cx="838200" cy="1943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182747</xdr:colOff>
      <xdr:row>1</xdr:row>
      <xdr:rowOff>136030</xdr:rowOff>
    </xdr:from>
    <xdr:to>
      <xdr:col>0</xdr:col>
      <xdr:colOff>734671</xdr:colOff>
      <xdr:row>7</xdr:row>
      <xdr:rowOff>189743</xdr:rowOff>
    </xdr:to>
    <xdr:sp macro="" textlink="">
      <xdr:nvSpPr>
        <xdr:cNvPr id="3" name="WordArt 7">
          <a:extLst>
            <a:ext uri="{FF2B5EF4-FFF2-40B4-BE49-F238E27FC236}">
              <a16:creationId xmlns:a16="http://schemas.microsoft.com/office/drawing/2014/main" id="{BBD72A31-99F6-412F-8CBC-982FF6F4557D}"/>
            </a:ext>
          </a:extLst>
        </xdr:cNvPr>
        <xdr:cNvSpPr>
          <a:spLocks noChangeArrowheads="1" noChangeShapeType="1" noTextEdit="1"/>
        </xdr:cNvSpPr>
      </xdr:nvSpPr>
      <xdr:spPr bwMode="auto">
        <a:xfrm rot="-5386043">
          <a:off x="-622248" y="2020525"/>
          <a:ext cx="2161913" cy="551924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fr-CA" sz="1200" b="1" kern="10" spc="0" baseline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Wood Grain</a:t>
          </a:r>
          <a:endParaRPr lang="fr-CA" sz="1200" b="1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"/>
            <a:cs typeface="Arial"/>
          </a:endParaRPr>
        </a:p>
      </xdr:txBody>
    </xdr:sp>
    <xdr:clientData/>
  </xdr:twoCellAnchor>
  <xdr:twoCellAnchor editAs="oneCell">
    <xdr:from>
      <xdr:col>2</xdr:col>
      <xdr:colOff>171449</xdr:colOff>
      <xdr:row>1</xdr:row>
      <xdr:rowOff>83820</xdr:rowOff>
    </xdr:from>
    <xdr:to>
      <xdr:col>2</xdr:col>
      <xdr:colOff>1017269</xdr:colOff>
      <xdr:row>6</xdr:row>
      <xdr:rowOff>83819</xdr:rowOff>
    </xdr:to>
    <xdr:pic>
      <xdr:nvPicPr>
        <xdr:cNvPr id="4" name="Picture 9" descr="DCI_Camden_Passage">
          <a:extLst>
            <a:ext uri="{FF2B5EF4-FFF2-40B4-BE49-F238E27FC236}">
              <a16:creationId xmlns:a16="http://schemas.microsoft.com/office/drawing/2014/main" id="{8CEFBC29-659A-47FB-B708-A20A426A65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199" y="1163320"/>
          <a:ext cx="845820" cy="1943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141786</xdr:colOff>
      <xdr:row>12</xdr:row>
      <xdr:rowOff>83820</xdr:rowOff>
    </xdr:from>
    <xdr:to>
      <xdr:col>3</xdr:col>
      <xdr:colOff>941886</xdr:colOff>
      <xdr:row>16</xdr:row>
      <xdr:rowOff>144780</xdr:rowOff>
    </xdr:to>
    <xdr:pic>
      <xdr:nvPicPr>
        <xdr:cNvPr id="5" name="Picture 14" descr="ROCKPORT">
          <a:extLst>
            <a:ext uri="{FF2B5EF4-FFF2-40B4-BE49-F238E27FC236}">
              <a16:creationId xmlns:a16="http://schemas.microsoft.com/office/drawing/2014/main" id="{286D8C6D-2177-469C-B8C2-9ECD27D98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9186" y="4414520"/>
          <a:ext cx="800100" cy="1965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158931</xdr:colOff>
      <xdr:row>12</xdr:row>
      <xdr:rowOff>112395</xdr:rowOff>
    </xdr:from>
    <xdr:to>
      <xdr:col>2</xdr:col>
      <xdr:colOff>959031</xdr:colOff>
      <xdr:row>16</xdr:row>
      <xdr:rowOff>150495</xdr:rowOff>
    </xdr:to>
    <xdr:pic>
      <xdr:nvPicPr>
        <xdr:cNvPr id="6" name="Picture 15" descr="SANTAFE SLAB1">
          <a:extLst>
            <a:ext uri="{FF2B5EF4-FFF2-40B4-BE49-F238E27FC236}">
              <a16:creationId xmlns:a16="http://schemas.microsoft.com/office/drawing/2014/main" id="{586B850E-34CA-4269-A333-5796FB3D33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681" y="4443095"/>
          <a:ext cx="8001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140425</xdr:colOff>
      <xdr:row>22</xdr:row>
      <xdr:rowOff>74295</xdr:rowOff>
    </xdr:from>
    <xdr:to>
      <xdr:col>1</xdr:col>
      <xdr:colOff>932905</xdr:colOff>
      <xdr:row>26</xdr:row>
      <xdr:rowOff>135255</xdr:rowOff>
    </xdr:to>
    <xdr:pic>
      <xdr:nvPicPr>
        <xdr:cNvPr id="7" name="Picture 23">
          <a:extLst>
            <a:ext uri="{FF2B5EF4-FFF2-40B4-BE49-F238E27FC236}">
              <a16:creationId xmlns:a16="http://schemas.microsoft.com/office/drawing/2014/main" id="{A0CD5B2D-F1AD-4BE2-8E3F-E7B3BB77F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925" y="7567295"/>
          <a:ext cx="792480" cy="19659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181247</xdr:colOff>
      <xdr:row>22</xdr:row>
      <xdr:rowOff>64770</xdr:rowOff>
    </xdr:from>
    <xdr:to>
      <xdr:col>2</xdr:col>
      <xdr:colOff>966107</xdr:colOff>
      <xdr:row>26</xdr:row>
      <xdr:rowOff>72390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27524455-1992-4548-93F6-6992DC6F4E06}"/>
            </a:ext>
          </a:extLst>
        </xdr:cNvPr>
        <xdr:cNvSpPr>
          <a:spLocks noChangeArrowheads="1"/>
        </xdr:cNvSpPr>
      </xdr:nvSpPr>
      <xdr:spPr bwMode="auto">
        <a:xfrm>
          <a:off x="2371997" y="7557770"/>
          <a:ext cx="784860" cy="1912620"/>
        </a:xfrm>
        <a:prstGeom prst="rect">
          <a:avLst/>
        </a:prstGeom>
        <a:solidFill>
          <a:srgbClr val="FFFFFF"/>
        </a:solidFill>
        <a:ln w="9525">
          <a:solidFill>
            <a:srgbClr val="333333"/>
          </a:solidFill>
          <a:miter lim="800000"/>
          <a:headEnd/>
          <a:tailEnd/>
        </a:ln>
      </xdr:spPr>
    </xdr:sp>
    <xdr:clientData/>
  </xdr:twoCellAnchor>
  <xdr:twoCellAnchor editAs="oneCell">
    <xdr:from>
      <xdr:col>3</xdr:col>
      <xdr:colOff>159203</xdr:colOff>
      <xdr:row>22</xdr:row>
      <xdr:rowOff>45720</xdr:rowOff>
    </xdr:from>
    <xdr:to>
      <xdr:col>3</xdr:col>
      <xdr:colOff>959303</xdr:colOff>
      <xdr:row>26</xdr:row>
      <xdr:rowOff>83820</xdr:rowOff>
    </xdr:to>
    <xdr:pic>
      <xdr:nvPicPr>
        <xdr:cNvPr id="9" name="Picture 61">
          <a:extLst>
            <a:ext uri="{FF2B5EF4-FFF2-40B4-BE49-F238E27FC236}">
              <a16:creationId xmlns:a16="http://schemas.microsoft.com/office/drawing/2014/main" id="{36B7FC2A-7205-4B3F-9EA3-20A833E43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603" y="7538720"/>
          <a:ext cx="8001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158931</xdr:colOff>
      <xdr:row>22</xdr:row>
      <xdr:rowOff>62865</xdr:rowOff>
    </xdr:from>
    <xdr:to>
      <xdr:col>4</xdr:col>
      <xdr:colOff>936171</xdr:colOff>
      <xdr:row>26</xdr:row>
      <xdr:rowOff>123825</xdr:rowOff>
    </xdr:to>
    <xdr:pic>
      <xdr:nvPicPr>
        <xdr:cNvPr id="10" name="Image 18">
          <a:extLst>
            <a:ext uri="{FF2B5EF4-FFF2-40B4-BE49-F238E27FC236}">
              <a16:creationId xmlns:a16="http://schemas.microsoft.com/office/drawing/2014/main" id="{ABEC0AF9-D7DC-409D-9021-B8FD7C7AD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981" y="7555865"/>
          <a:ext cx="777240" cy="1965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325755</xdr:colOff>
      <xdr:row>22</xdr:row>
      <xdr:rowOff>266700</xdr:rowOff>
    </xdr:from>
    <xdr:to>
      <xdr:col>2</xdr:col>
      <xdr:colOff>821055</xdr:colOff>
      <xdr:row>22</xdr:row>
      <xdr:rowOff>266700</xdr:rowOff>
    </xdr:to>
    <xdr:sp macro="" textlink="">
      <xdr:nvSpPr>
        <xdr:cNvPr id="11" name="Line 27">
          <a:extLst>
            <a:ext uri="{FF2B5EF4-FFF2-40B4-BE49-F238E27FC236}">
              <a16:creationId xmlns:a16="http://schemas.microsoft.com/office/drawing/2014/main" id="{D1C11223-5417-4905-B2B9-62390D5AA00A}"/>
            </a:ext>
          </a:extLst>
        </xdr:cNvPr>
        <xdr:cNvSpPr>
          <a:spLocks noChangeShapeType="1"/>
        </xdr:cNvSpPr>
      </xdr:nvSpPr>
      <xdr:spPr bwMode="auto">
        <a:xfrm>
          <a:off x="2516505" y="7759700"/>
          <a:ext cx="495300" cy="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325755</xdr:colOff>
      <xdr:row>24</xdr:row>
      <xdr:rowOff>196215</xdr:rowOff>
    </xdr:from>
    <xdr:to>
      <xdr:col>2</xdr:col>
      <xdr:colOff>821055</xdr:colOff>
      <xdr:row>24</xdr:row>
      <xdr:rowOff>196215</xdr:rowOff>
    </xdr:to>
    <xdr:sp macro="" textlink="">
      <xdr:nvSpPr>
        <xdr:cNvPr id="12" name="Line 30">
          <a:extLst>
            <a:ext uri="{FF2B5EF4-FFF2-40B4-BE49-F238E27FC236}">
              <a16:creationId xmlns:a16="http://schemas.microsoft.com/office/drawing/2014/main" id="{72E5A9FF-C456-49B4-B608-0ADFC5A7A01F}"/>
            </a:ext>
          </a:extLst>
        </xdr:cNvPr>
        <xdr:cNvSpPr>
          <a:spLocks noChangeShapeType="1"/>
        </xdr:cNvSpPr>
      </xdr:nvSpPr>
      <xdr:spPr bwMode="auto">
        <a:xfrm>
          <a:off x="2516505" y="9238615"/>
          <a:ext cx="495300" cy="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325755</xdr:colOff>
      <xdr:row>22</xdr:row>
      <xdr:rowOff>276225</xdr:rowOff>
    </xdr:from>
    <xdr:to>
      <xdr:col>2</xdr:col>
      <xdr:colOff>325755</xdr:colOff>
      <xdr:row>25</xdr:row>
      <xdr:rowOff>1905</xdr:rowOff>
    </xdr:to>
    <xdr:sp macro="" textlink="">
      <xdr:nvSpPr>
        <xdr:cNvPr id="13" name="Line 31">
          <a:extLst>
            <a:ext uri="{FF2B5EF4-FFF2-40B4-BE49-F238E27FC236}">
              <a16:creationId xmlns:a16="http://schemas.microsoft.com/office/drawing/2014/main" id="{53DC2FD8-B279-4B7C-A0BF-0224EE4B54C9}"/>
            </a:ext>
          </a:extLst>
        </xdr:cNvPr>
        <xdr:cNvSpPr>
          <a:spLocks noChangeShapeType="1"/>
        </xdr:cNvSpPr>
      </xdr:nvSpPr>
      <xdr:spPr bwMode="auto">
        <a:xfrm>
          <a:off x="2516505" y="7769225"/>
          <a:ext cx="0" cy="147193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813435</xdr:colOff>
      <xdr:row>22</xdr:row>
      <xdr:rowOff>285750</xdr:rowOff>
    </xdr:from>
    <xdr:to>
      <xdr:col>2</xdr:col>
      <xdr:colOff>813435</xdr:colOff>
      <xdr:row>25</xdr:row>
      <xdr:rowOff>3810</xdr:rowOff>
    </xdr:to>
    <xdr:sp macro="" textlink="">
      <xdr:nvSpPr>
        <xdr:cNvPr id="14" name="Line 32">
          <a:extLst>
            <a:ext uri="{FF2B5EF4-FFF2-40B4-BE49-F238E27FC236}">
              <a16:creationId xmlns:a16="http://schemas.microsoft.com/office/drawing/2014/main" id="{B99B8EE6-0654-49B8-9035-9751736F3796}"/>
            </a:ext>
          </a:extLst>
        </xdr:cNvPr>
        <xdr:cNvSpPr>
          <a:spLocks noChangeShapeType="1"/>
        </xdr:cNvSpPr>
      </xdr:nvSpPr>
      <xdr:spPr bwMode="auto">
        <a:xfrm>
          <a:off x="3004185" y="7778750"/>
          <a:ext cx="0" cy="146431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170633</xdr:colOff>
      <xdr:row>12</xdr:row>
      <xdr:rowOff>97155</xdr:rowOff>
    </xdr:from>
    <xdr:to>
      <xdr:col>1</xdr:col>
      <xdr:colOff>1001213</xdr:colOff>
      <xdr:row>16</xdr:row>
      <xdr:rowOff>135255</xdr:rowOff>
    </xdr:to>
    <xdr:pic>
      <xdr:nvPicPr>
        <xdr:cNvPr id="15" name="Picture 5" descr="DCI_Cambridge_Passage">
          <a:extLst>
            <a:ext uri="{FF2B5EF4-FFF2-40B4-BE49-F238E27FC236}">
              <a16:creationId xmlns:a16="http://schemas.microsoft.com/office/drawing/2014/main" id="{9F0C7500-933F-490E-866F-CE0D1705F98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33" y="4427855"/>
          <a:ext cx="8305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155121</xdr:colOff>
      <xdr:row>22</xdr:row>
      <xdr:rowOff>59055</xdr:rowOff>
    </xdr:from>
    <xdr:to>
      <xdr:col>5</xdr:col>
      <xdr:colOff>993321</xdr:colOff>
      <xdr:row>26</xdr:row>
      <xdr:rowOff>147955</xdr:rowOff>
    </xdr:to>
    <xdr:pic>
      <xdr:nvPicPr>
        <xdr:cNvPr id="16" name="Picture 1" descr="cid:image002.png@01D466D7.2BBAC810">
          <a:extLst>
            <a:ext uri="{FF2B5EF4-FFF2-40B4-BE49-F238E27FC236}">
              <a16:creationId xmlns:a16="http://schemas.microsoft.com/office/drawing/2014/main" id="{C5CB3214-8055-49BA-B51B-69293C04E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821" y="7552055"/>
          <a:ext cx="838200" cy="199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940593</xdr:colOff>
      <xdr:row>0</xdr:row>
      <xdr:rowOff>142875</xdr:rowOff>
    </xdr:from>
    <xdr:to>
      <xdr:col>4</xdr:col>
      <xdr:colOff>1085012</xdr:colOff>
      <xdr:row>0</xdr:row>
      <xdr:rowOff>815181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6063930-6421-460B-B130-CCBF59A2B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93093" y="142875"/>
          <a:ext cx="3655969" cy="6723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154781</xdr:colOff>
      <xdr:row>1</xdr:row>
      <xdr:rowOff>1</xdr:rowOff>
    </xdr:from>
    <xdr:to>
      <xdr:col>2</xdr:col>
      <xdr:colOff>197643</xdr:colOff>
      <xdr:row>1</xdr:row>
      <xdr:rowOff>453851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7C4B6-BADD-48E2-BB46-2ED35B3A5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" y="165101"/>
          <a:ext cx="2462212" cy="45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169333</xdr:colOff>
      <xdr:row>1</xdr:row>
      <xdr:rowOff>0</xdr:rowOff>
    </xdr:from>
    <xdr:to>
      <xdr:col>5</xdr:col>
      <xdr:colOff>194027</xdr:colOff>
      <xdr:row>1</xdr:row>
      <xdr:rowOff>493909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F0BC16-B464-4E0E-AE61-84F7810B6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165100"/>
          <a:ext cx="2653594" cy="493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4E1F-53B5-4C1B-8847-3F226E51BC34}">
  <sheetPr>
    <pageSetUpPr fitToPage="1"/>
  </sheetPr>
  <dimension ref="B1:S42"/>
  <sheetViews>
    <sheetView tabSelected="1" zoomScaleNormal="100" zoomScaleSheetLayoutView="100" workbookViewId="0">
      <selection activeCell="B4" sqref="B4:F4"/>
    </sheetView>
  </sheetViews>
  <sheetFormatPr defaultRowHeight="13"/>
  <cols>
    <col min="1" max="1" width="6" customWidth="1"/>
    <col min="2" max="2" width="32.796875" customWidth="1"/>
    <col min="3" max="3" width="17.19921875" customWidth="1"/>
    <col min="4" max="6" width="17.796875" customWidth="1"/>
    <col min="7" max="7" width="3.296875" customWidth="1"/>
    <col min="9" max="9" width="12.69921875" bestFit="1" customWidth="1"/>
    <col min="10" max="10" width="13.69921875" bestFit="1" customWidth="1"/>
    <col min="11" max="11" width="2.69921875" customWidth="1"/>
    <col min="12" max="12" width="12.69921875" bestFit="1" customWidth="1"/>
    <col min="13" max="13" width="13.69921875" bestFit="1" customWidth="1"/>
    <col min="14" max="14" width="2" customWidth="1"/>
    <col min="15" max="15" width="12.69921875" bestFit="1" customWidth="1"/>
    <col min="16" max="16" width="13.69921875" bestFit="1" customWidth="1"/>
    <col min="17" max="17" width="2.19921875" customWidth="1"/>
    <col min="18" max="18" width="12.69921875" bestFit="1" customWidth="1"/>
    <col min="19" max="19" width="13.69921875" bestFit="1" customWidth="1"/>
  </cols>
  <sheetData>
    <row r="1" spans="2:19" ht="43.5" customHeight="1">
      <c r="B1" s="181"/>
      <c r="C1" s="181"/>
      <c r="D1" s="181"/>
      <c r="E1" s="181"/>
      <c r="F1" s="181"/>
      <c r="G1" s="1"/>
    </row>
    <row r="2" spans="2:19" ht="22" customHeight="1">
      <c r="B2" s="182" t="s">
        <v>0</v>
      </c>
      <c r="C2" s="182"/>
      <c r="D2" s="182"/>
      <c r="E2" s="182"/>
      <c r="F2" s="182"/>
      <c r="G2" s="2"/>
    </row>
    <row r="3" spans="2:19" ht="27" customHeight="1">
      <c r="B3" s="183" t="s">
        <v>125</v>
      </c>
      <c r="C3" s="182"/>
      <c r="D3" s="182"/>
      <c r="E3" s="182"/>
      <c r="F3" s="182"/>
      <c r="G3" s="2"/>
    </row>
    <row r="4" spans="2:19" ht="22.4" customHeight="1">
      <c r="B4" s="178" t="s">
        <v>48</v>
      </c>
      <c r="C4" s="184"/>
      <c r="D4" s="184"/>
      <c r="E4" s="184"/>
      <c r="F4" s="184"/>
      <c r="G4" s="1"/>
      <c r="I4" s="26" t="s">
        <v>51</v>
      </c>
      <c r="J4" s="27">
        <v>0.06</v>
      </c>
    </row>
    <row r="5" spans="2:19" ht="36" customHeight="1">
      <c r="B5" s="178" t="s">
        <v>46</v>
      </c>
      <c r="C5" s="178"/>
      <c r="D5" s="178"/>
      <c r="E5" s="178"/>
      <c r="F5" s="178"/>
      <c r="G5" s="1"/>
    </row>
    <row r="6" spans="2:19" ht="31.4" customHeight="1"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1"/>
      <c r="I6" s="28" t="s">
        <v>49</v>
      </c>
      <c r="J6" s="26" t="s">
        <v>50</v>
      </c>
      <c r="K6" s="26"/>
      <c r="L6" s="28" t="s">
        <v>49</v>
      </c>
      <c r="M6" s="26" t="s">
        <v>50</v>
      </c>
      <c r="N6" s="26"/>
      <c r="O6" s="28" t="s">
        <v>49</v>
      </c>
      <c r="P6" s="26" t="s">
        <v>50</v>
      </c>
      <c r="Q6" s="26"/>
      <c r="R6" s="28" t="s">
        <v>49</v>
      </c>
      <c r="S6" s="26" t="s">
        <v>50</v>
      </c>
    </row>
    <row r="7" spans="2:19" ht="13" customHeight="1">
      <c r="B7" s="4" t="s">
        <v>6</v>
      </c>
      <c r="C7" s="14">
        <f>J7</f>
        <v>41.6</v>
      </c>
      <c r="D7" s="14">
        <f>M7</f>
        <v>46.45</v>
      </c>
      <c r="E7" s="14">
        <f>P7</f>
        <v>51.300000000000004</v>
      </c>
      <c r="F7" s="14">
        <f>S7</f>
        <v>29.05</v>
      </c>
      <c r="G7" s="5"/>
      <c r="I7" s="25">
        <v>39.25</v>
      </c>
      <c r="J7" s="29">
        <f>MROUND(I7*(1+$J$4),0.05)</f>
        <v>41.6</v>
      </c>
      <c r="L7" s="25">
        <v>43.8</v>
      </c>
      <c r="M7" s="29">
        <f>MROUND(L7*(1+$J$4),0.05)</f>
        <v>46.45</v>
      </c>
      <c r="O7" s="25">
        <v>48.4</v>
      </c>
      <c r="P7" s="29">
        <f>MROUND(O7*(1+$J$4),0.05)</f>
        <v>51.300000000000004</v>
      </c>
      <c r="R7" s="25">
        <v>27.4</v>
      </c>
      <c r="S7" s="29">
        <f>MROUND(R7*(1+$J$4),0.05)</f>
        <v>29.05</v>
      </c>
    </row>
    <row r="8" spans="2:19" ht="14.15" customHeight="1">
      <c r="B8" s="6" t="s">
        <v>7</v>
      </c>
      <c r="C8" s="15">
        <f t="shared" ref="C8:C13" si="0">J8</f>
        <v>45.1</v>
      </c>
      <c r="D8" s="15">
        <f t="shared" ref="D8:D13" si="1">M8</f>
        <v>49.95</v>
      </c>
      <c r="E8" s="15">
        <f t="shared" ref="E8:E13" si="2">P8</f>
        <v>54.800000000000004</v>
      </c>
      <c r="F8" s="15">
        <f t="shared" ref="F8:F21" si="3">S8</f>
        <v>32.65</v>
      </c>
      <c r="G8" s="5"/>
      <c r="I8" s="25">
        <v>42.55</v>
      </c>
      <c r="J8" s="29">
        <f t="shared" ref="J8:J42" si="4">MROUND(I8*(1+$J$4),0.05)</f>
        <v>45.1</v>
      </c>
      <c r="L8" s="25">
        <v>47.1</v>
      </c>
      <c r="M8" s="29">
        <f t="shared" ref="M8:M38" si="5">MROUND(L8*(1+$J$4),0.05)</f>
        <v>49.95</v>
      </c>
      <c r="O8" s="25">
        <v>51.7</v>
      </c>
      <c r="P8" s="29">
        <f t="shared" ref="P8:P38" si="6">MROUND(O8*(1+$J$4),0.05)</f>
        <v>54.800000000000004</v>
      </c>
      <c r="R8" s="25">
        <v>30.8</v>
      </c>
      <c r="S8" s="29">
        <f t="shared" ref="S8:S38" si="7">MROUND(R8*(1+$J$4),0.05)</f>
        <v>32.65</v>
      </c>
    </row>
    <row r="9" spans="2:19" ht="12.75" customHeight="1">
      <c r="B9" s="6" t="s">
        <v>8</v>
      </c>
      <c r="C9" s="15">
        <f t="shared" si="0"/>
        <v>46.25</v>
      </c>
      <c r="D9" s="15">
        <f t="shared" si="1"/>
        <v>51.1</v>
      </c>
      <c r="E9" s="15">
        <f t="shared" si="2"/>
        <v>55.95</v>
      </c>
      <c r="F9" s="15">
        <f t="shared" si="3"/>
        <v>33.15</v>
      </c>
      <c r="G9" s="5"/>
      <c r="I9" s="25">
        <v>43.65</v>
      </c>
      <c r="J9" s="29">
        <f t="shared" si="4"/>
        <v>46.25</v>
      </c>
      <c r="L9" s="25">
        <v>48.2</v>
      </c>
      <c r="M9" s="29">
        <f t="shared" si="5"/>
        <v>51.1</v>
      </c>
      <c r="O9" s="25">
        <v>52.8</v>
      </c>
      <c r="P9" s="29">
        <f t="shared" si="6"/>
        <v>55.95</v>
      </c>
      <c r="R9" s="25">
        <v>31.25</v>
      </c>
      <c r="S9" s="29">
        <f t="shared" si="7"/>
        <v>33.15</v>
      </c>
    </row>
    <row r="10" spans="2:19" ht="13" customHeight="1">
      <c r="B10" s="6" t="s">
        <v>9</v>
      </c>
      <c r="C10" s="15">
        <f t="shared" si="0"/>
        <v>46.650000000000006</v>
      </c>
      <c r="D10" s="15">
        <f t="shared" si="1"/>
        <v>51.400000000000006</v>
      </c>
      <c r="E10" s="15">
        <f t="shared" si="2"/>
        <v>56.35</v>
      </c>
      <c r="F10" s="15">
        <f t="shared" si="3"/>
        <v>35.1</v>
      </c>
      <c r="G10" s="5"/>
      <c r="I10" s="25">
        <v>44</v>
      </c>
      <c r="J10" s="29">
        <f t="shared" si="4"/>
        <v>46.650000000000006</v>
      </c>
      <c r="L10" s="25">
        <v>48.5</v>
      </c>
      <c r="M10" s="29">
        <f t="shared" si="5"/>
        <v>51.400000000000006</v>
      </c>
      <c r="O10" s="25">
        <v>53.15</v>
      </c>
      <c r="P10" s="29">
        <f t="shared" si="6"/>
        <v>56.35</v>
      </c>
      <c r="R10" s="25">
        <v>33.1</v>
      </c>
      <c r="S10" s="29">
        <f t="shared" si="7"/>
        <v>35.1</v>
      </c>
    </row>
    <row r="11" spans="2:19" ht="13" customHeight="1">
      <c r="B11" s="6" t="s">
        <v>10</v>
      </c>
      <c r="C11" s="15">
        <f t="shared" si="0"/>
        <v>48.85</v>
      </c>
      <c r="D11" s="15">
        <f t="shared" si="1"/>
        <v>53.75</v>
      </c>
      <c r="E11" s="15">
        <f t="shared" si="2"/>
        <v>58.650000000000006</v>
      </c>
      <c r="F11" s="15">
        <f t="shared" si="3"/>
        <v>35.950000000000003</v>
      </c>
      <c r="G11" s="5"/>
      <c r="I11" s="25">
        <v>46.1</v>
      </c>
      <c r="J11" s="29">
        <f t="shared" si="4"/>
        <v>48.85</v>
      </c>
      <c r="L11" s="25">
        <v>50.7</v>
      </c>
      <c r="M11" s="29">
        <f t="shared" si="5"/>
        <v>53.75</v>
      </c>
      <c r="O11" s="25">
        <v>55.35</v>
      </c>
      <c r="P11" s="29">
        <f t="shared" si="6"/>
        <v>58.650000000000006</v>
      </c>
      <c r="R11" s="25">
        <v>33.9</v>
      </c>
      <c r="S11" s="29">
        <f t="shared" si="7"/>
        <v>35.950000000000003</v>
      </c>
    </row>
    <row r="12" spans="2:19" ht="13" customHeight="1">
      <c r="B12" s="6" t="s">
        <v>11</v>
      </c>
      <c r="C12" s="15">
        <f t="shared" si="0"/>
        <v>51.2</v>
      </c>
      <c r="D12" s="15">
        <f t="shared" si="1"/>
        <v>56.050000000000004</v>
      </c>
      <c r="E12" s="15">
        <f t="shared" si="2"/>
        <v>60.85</v>
      </c>
      <c r="F12" s="15">
        <f t="shared" si="3"/>
        <v>36.75</v>
      </c>
      <c r="G12" s="5"/>
      <c r="I12" s="25">
        <v>48.3</v>
      </c>
      <c r="J12" s="29">
        <f t="shared" si="4"/>
        <v>51.2</v>
      </c>
      <c r="L12" s="25">
        <v>52.9</v>
      </c>
      <c r="M12" s="29">
        <f t="shared" si="5"/>
        <v>56.050000000000004</v>
      </c>
      <c r="O12" s="25">
        <v>57.4</v>
      </c>
      <c r="P12" s="29">
        <f t="shared" si="6"/>
        <v>60.85</v>
      </c>
      <c r="R12" s="25">
        <v>34.65</v>
      </c>
      <c r="S12" s="29">
        <f t="shared" si="7"/>
        <v>36.75</v>
      </c>
    </row>
    <row r="13" spans="2:19" ht="13" customHeight="1">
      <c r="B13" s="6" t="s">
        <v>12</v>
      </c>
      <c r="C13" s="15">
        <f t="shared" si="0"/>
        <v>51.2</v>
      </c>
      <c r="D13" s="15">
        <f t="shared" si="1"/>
        <v>56.050000000000004</v>
      </c>
      <c r="E13" s="15">
        <f t="shared" si="2"/>
        <v>60.85</v>
      </c>
      <c r="F13" s="15">
        <f t="shared" si="3"/>
        <v>36.75</v>
      </c>
      <c r="G13" s="5"/>
      <c r="I13" s="25">
        <v>48.3</v>
      </c>
      <c r="J13" s="29">
        <f t="shared" si="4"/>
        <v>51.2</v>
      </c>
      <c r="L13" s="25">
        <v>52.9</v>
      </c>
      <c r="M13" s="29">
        <f t="shared" si="5"/>
        <v>56.050000000000004</v>
      </c>
      <c r="O13" s="25">
        <v>57.4</v>
      </c>
      <c r="P13" s="29">
        <f t="shared" si="6"/>
        <v>60.85</v>
      </c>
      <c r="R13" s="25">
        <v>34.65</v>
      </c>
      <c r="S13" s="29">
        <f t="shared" si="7"/>
        <v>36.75</v>
      </c>
    </row>
    <row r="14" spans="2:19" ht="13" customHeight="1">
      <c r="B14" s="6" t="s">
        <v>13</v>
      </c>
      <c r="C14" s="16" t="s">
        <v>14</v>
      </c>
      <c r="D14" s="16" t="s">
        <v>14</v>
      </c>
      <c r="E14" s="16" t="s">
        <v>14</v>
      </c>
      <c r="F14" s="15">
        <f t="shared" si="3"/>
        <v>65.650000000000006</v>
      </c>
      <c r="G14" s="5"/>
      <c r="I14" s="25"/>
      <c r="J14" s="25"/>
      <c r="R14" s="25">
        <v>61.95</v>
      </c>
      <c r="S14" s="29">
        <f t="shared" si="7"/>
        <v>65.650000000000006</v>
      </c>
    </row>
    <row r="15" spans="2:19" ht="13" customHeight="1">
      <c r="B15" s="6" t="s">
        <v>124</v>
      </c>
      <c r="C15" s="16">
        <v>83.2</v>
      </c>
      <c r="D15" s="16" t="s">
        <v>117</v>
      </c>
      <c r="E15" s="16" t="s">
        <v>117</v>
      </c>
      <c r="F15" s="15" t="s">
        <v>117</v>
      </c>
      <c r="G15" s="5"/>
      <c r="I15" s="25"/>
      <c r="J15" s="175" t="s">
        <v>122</v>
      </c>
      <c r="R15" s="25"/>
      <c r="S15" s="29"/>
    </row>
    <row r="16" spans="2:19" ht="14.15" customHeight="1">
      <c r="B16" s="6" t="s">
        <v>15</v>
      </c>
      <c r="C16" s="15">
        <f t="shared" ref="C16:C20" si="8">J16</f>
        <v>20.05</v>
      </c>
      <c r="D16" s="15">
        <f t="shared" ref="D16:D17" si="9">M16</f>
        <v>24.700000000000003</v>
      </c>
      <c r="E16" s="15">
        <f t="shared" ref="E16:E20" si="10">P16</f>
        <v>24.700000000000003</v>
      </c>
      <c r="F16" s="15">
        <f t="shared" si="3"/>
        <v>12.350000000000001</v>
      </c>
      <c r="G16" s="5"/>
      <c r="I16" s="25">
        <v>18.899999999999999</v>
      </c>
      <c r="J16" s="29">
        <f t="shared" si="4"/>
        <v>20.05</v>
      </c>
      <c r="L16" s="25">
        <v>23.3</v>
      </c>
      <c r="M16" s="29">
        <f t="shared" si="5"/>
        <v>24.700000000000003</v>
      </c>
      <c r="O16" s="25">
        <v>23.3</v>
      </c>
      <c r="P16" s="29">
        <f t="shared" si="6"/>
        <v>24.700000000000003</v>
      </c>
      <c r="R16" s="25">
        <v>11.65</v>
      </c>
      <c r="S16" s="29">
        <f t="shared" si="7"/>
        <v>12.350000000000001</v>
      </c>
    </row>
    <row r="17" spans="2:19" ht="26.15" customHeight="1">
      <c r="B17" s="6" t="s">
        <v>16</v>
      </c>
      <c r="C17" s="15">
        <f t="shared" si="8"/>
        <v>35.450000000000003</v>
      </c>
      <c r="D17" s="15">
        <f t="shared" si="9"/>
        <v>46.25</v>
      </c>
      <c r="E17" s="15">
        <f t="shared" si="10"/>
        <v>46.25</v>
      </c>
      <c r="F17" s="15">
        <f t="shared" si="3"/>
        <v>24.700000000000003</v>
      </c>
      <c r="G17" s="2"/>
      <c r="I17" s="25">
        <v>33.450000000000003</v>
      </c>
      <c r="J17" s="29">
        <f t="shared" si="4"/>
        <v>35.450000000000003</v>
      </c>
      <c r="L17" s="25">
        <v>43.65</v>
      </c>
      <c r="M17" s="29">
        <f t="shared" si="5"/>
        <v>46.25</v>
      </c>
      <c r="O17" s="25">
        <v>43.65</v>
      </c>
      <c r="P17" s="29">
        <f t="shared" si="6"/>
        <v>46.25</v>
      </c>
      <c r="R17" s="25">
        <v>23.3</v>
      </c>
      <c r="S17" s="29">
        <f t="shared" si="7"/>
        <v>24.700000000000003</v>
      </c>
    </row>
    <row r="18" spans="2:19" ht="12.75" customHeight="1">
      <c r="B18" s="6" t="s">
        <v>17</v>
      </c>
      <c r="C18" s="15">
        <f t="shared" si="8"/>
        <v>44.300000000000004</v>
      </c>
      <c r="D18" s="15">
        <f>M18</f>
        <v>44.300000000000004</v>
      </c>
      <c r="E18" s="15">
        <f t="shared" si="10"/>
        <v>44.300000000000004</v>
      </c>
      <c r="F18" s="15">
        <f t="shared" si="3"/>
        <v>36.35</v>
      </c>
      <c r="G18" s="5"/>
      <c r="I18" s="25">
        <v>41.8</v>
      </c>
      <c r="J18" s="29">
        <f t="shared" si="4"/>
        <v>44.300000000000004</v>
      </c>
      <c r="L18" s="25">
        <v>41.8</v>
      </c>
      <c r="M18" s="29">
        <f t="shared" si="5"/>
        <v>44.300000000000004</v>
      </c>
      <c r="O18" s="25">
        <v>41.8</v>
      </c>
      <c r="P18" s="29">
        <f t="shared" si="6"/>
        <v>44.300000000000004</v>
      </c>
      <c r="R18" s="25">
        <v>34.299999999999997</v>
      </c>
      <c r="S18" s="29">
        <f t="shared" si="7"/>
        <v>36.35</v>
      </c>
    </row>
    <row r="19" spans="2:19" ht="13" customHeight="1">
      <c r="B19" s="6" t="s">
        <v>18</v>
      </c>
      <c r="C19" s="15">
        <f t="shared" si="8"/>
        <v>52.45</v>
      </c>
      <c r="D19" s="15">
        <f>M19</f>
        <v>52.45</v>
      </c>
      <c r="E19" s="15">
        <f t="shared" si="10"/>
        <v>52.45</v>
      </c>
      <c r="F19" s="15">
        <f t="shared" si="3"/>
        <v>41.300000000000004</v>
      </c>
      <c r="G19" s="5"/>
      <c r="I19" s="25">
        <v>49.5</v>
      </c>
      <c r="J19" s="29">
        <f t="shared" si="4"/>
        <v>52.45</v>
      </c>
      <c r="L19" s="25">
        <v>49.5</v>
      </c>
      <c r="M19" s="29">
        <f t="shared" si="5"/>
        <v>52.45</v>
      </c>
      <c r="O19" s="25">
        <v>49.5</v>
      </c>
      <c r="P19" s="29">
        <f t="shared" si="6"/>
        <v>52.45</v>
      </c>
      <c r="R19" s="25">
        <v>38.950000000000003</v>
      </c>
      <c r="S19" s="29">
        <f t="shared" si="7"/>
        <v>41.300000000000004</v>
      </c>
    </row>
    <row r="20" spans="2:19" ht="13.5" customHeight="1">
      <c r="B20" s="6" t="s">
        <v>19</v>
      </c>
      <c r="C20" s="15">
        <f t="shared" si="8"/>
        <v>99.100000000000009</v>
      </c>
      <c r="D20" s="15">
        <f>M20</f>
        <v>99.100000000000009</v>
      </c>
      <c r="E20" s="15">
        <f t="shared" si="10"/>
        <v>99.100000000000009</v>
      </c>
      <c r="F20" s="15">
        <f t="shared" si="3"/>
        <v>59.85</v>
      </c>
      <c r="G20" s="5"/>
      <c r="I20" s="25">
        <v>93.5</v>
      </c>
      <c r="J20" s="29">
        <f t="shared" si="4"/>
        <v>99.100000000000009</v>
      </c>
      <c r="L20" s="25">
        <v>93.5</v>
      </c>
      <c r="M20" s="29">
        <f t="shared" si="5"/>
        <v>99.100000000000009</v>
      </c>
      <c r="O20" s="25">
        <v>93.5</v>
      </c>
      <c r="P20" s="29">
        <f t="shared" si="6"/>
        <v>99.100000000000009</v>
      </c>
      <c r="R20" s="25">
        <v>56.45</v>
      </c>
      <c r="S20" s="29">
        <f t="shared" si="7"/>
        <v>59.85</v>
      </c>
    </row>
    <row r="21" spans="2:19" ht="14.15" customHeight="1">
      <c r="B21" s="30" t="s">
        <v>115</v>
      </c>
      <c r="C21" s="16">
        <v>20</v>
      </c>
      <c r="D21" s="16" t="s">
        <v>14</v>
      </c>
      <c r="E21" s="16" t="s">
        <v>14</v>
      </c>
      <c r="F21" s="15">
        <f t="shared" si="3"/>
        <v>21.1</v>
      </c>
      <c r="G21" s="5"/>
      <c r="I21" s="25"/>
      <c r="R21" s="25">
        <v>19.899999999999999</v>
      </c>
      <c r="S21" s="29">
        <f t="shared" si="7"/>
        <v>21.1</v>
      </c>
    </row>
    <row r="22" spans="2:19" ht="13.5" customHeight="1">
      <c r="B22" s="30" t="s">
        <v>116</v>
      </c>
      <c r="C22" s="16">
        <v>25</v>
      </c>
      <c r="D22" s="16" t="s">
        <v>117</v>
      </c>
      <c r="E22" s="16" t="s">
        <v>117</v>
      </c>
      <c r="F22" s="15">
        <v>25</v>
      </c>
      <c r="G22" s="5"/>
      <c r="I22" s="25"/>
      <c r="R22" s="25"/>
      <c r="S22" s="29"/>
    </row>
    <row r="23" spans="2:19" ht="23.5" customHeight="1">
      <c r="B23" s="30" t="s">
        <v>52</v>
      </c>
      <c r="C23" s="17"/>
      <c r="D23" s="17"/>
      <c r="E23" s="17"/>
      <c r="F23" s="17"/>
      <c r="G23" s="2"/>
      <c r="I23" s="25">
        <v>4.4000000000000004</v>
      </c>
      <c r="J23" s="29">
        <f t="shared" si="4"/>
        <v>4.6500000000000004</v>
      </c>
    </row>
    <row r="24" spans="2:19" ht="28" customHeight="1">
      <c r="B24" s="20" t="s">
        <v>44</v>
      </c>
      <c r="C24" s="18"/>
      <c r="D24" s="18"/>
      <c r="E24" s="18"/>
      <c r="F24" s="18"/>
      <c r="G24" s="2"/>
      <c r="J24" s="25"/>
    </row>
    <row r="25" spans="2:19" ht="14.15" customHeight="1">
      <c r="B25" s="4" t="s">
        <v>21</v>
      </c>
      <c r="C25" s="14">
        <f t="shared" ref="C25:C29" si="11">J25</f>
        <v>57.7</v>
      </c>
      <c r="D25" s="14">
        <f t="shared" ref="D25:D28" si="12">M25</f>
        <v>62.5</v>
      </c>
      <c r="E25" s="14">
        <f t="shared" ref="E25:E28" si="13">P25</f>
        <v>67.400000000000006</v>
      </c>
      <c r="F25" s="14">
        <f t="shared" ref="F25:F29" si="14">S25</f>
        <v>48.400000000000006</v>
      </c>
      <c r="G25" s="5"/>
      <c r="I25" s="25">
        <v>54.45</v>
      </c>
      <c r="J25" s="29">
        <f t="shared" si="4"/>
        <v>57.7</v>
      </c>
      <c r="L25" s="25">
        <v>58.95</v>
      </c>
      <c r="M25" s="29">
        <f t="shared" si="5"/>
        <v>62.5</v>
      </c>
      <c r="O25" s="25">
        <v>63.6</v>
      </c>
      <c r="P25" s="29">
        <f t="shared" si="6"/>
        <v>67.400000000000006</v>
      </c>
      <c r="R25" s="25">
        <v>45.65</v>
      </c>
      <c r="S25" s="29">
        <f t="shared" si="7"/>
        <v>48.400000000000006</v>
      </c>
    </row>
    <row r="26" spans="2:19" ht="13" customHeight="1">
      <c r="B26" s="6" t="s">
        <v>22</v>
      </c>
      <c r="C26" s="15">
        <f t="shared" si="11"/>
        <v>61.300000000000004</v>
      </c>
      <c r="D26" s="15">
        <f t="shared" si="12"/>
        <v>66.100000000000009</v>
      </c>
      <c r="E26" s="15">
        <f t="shared" si="13"/>
        <v>71</v>
      </c>
      <c r="F26" s="15">
        <f t="shared" si="14"/>
        <v>52.35</v>
      </c>
      <c r="G26" s="5"/>
      <c r="I26" s="25">
        <v>57.85</v>
      </c>
      <c r="J26" s="29">
        <f t="shared" si="4"/>
        <v>61.300000000000004</v>
      </c>
      <c r="L26" s="25">
        <v>62.35</v>
      </c>
      <c r="M26" s="29">
        <f t="shared" si="5"/>
        <v>66.100000000000009</v>
      </c>
      <c r="O26" s="25">
        <v>67</v>
      </c>
      <c r="P26" s="29">
        <f t="shared" si="6"/>
        <v>71</v>
      </c>
      <c r="R26" s="25">
        <v>49.4</v>
      </c>
      <c r="S26" s="29">
        <f t="shared" si="7"/>
        <v>52.35</v>
      </c>
    </row>
    <row r="27" spans="2:19" ht="24" customHeight="1">
      <c r="B27" s="6" t="s">
        <v>23</v>
      </c>
      <c r="C27" s="15">
        <f t="shared" si="11"/>
        <v>64.900000000000006</v>
      </c>
      <c r="D27" s="15">
        <f t="shared" si="12"/>
        <v>69.850000000000009</v>
      </c>
      <c r="E27" s="15">
        <f t="shared" si="13"/>
        <v>74.600000000000009</v>
      </c>
      <c r="F27" s="15">
        <f t="shared" si="14"/>
        <v>56.45</v>
      </c>
      <c r="G27" s="2"/>
      <c r="I27" s="25">
        <v>61.25</v>
      </c>
      <c r="J27" s="29">
        <f t="shared" si="4"/>
        <v>64.900000000000006</v>
      </c>
      <c r="L27" s="25">
        <v>65.900000000000006</v>
      </c>
      <c r="M27" s="29">
        <f t="shared" si="5"/>
        <v>69.850000000000009</v>
      </c>
      <c r="O27" s="25">
        <v>70.400000000000006</v>
      </c>
      <c r="P27" s="29">
        <f t="shared" si="6"/>
        <v>74.600000000000009</v>
      </c>
      <c r="R27" s="25">
        <v>53.25</v>
      </c>
      <c r="S27" s="29">
        <f t="shared" si="7"/>
        <v>56.45</v>
      </c>
    </row>
    <row r="28" spans="2:19" ht="12.75" customHeight="1">
      <c r="B28" s="6" t="s">
        <v>15</v>
      </c>
      <c r="C28" s="15">
        <f t="shared" si="11"/>
        <v>23.200000000000003</v>
      </c>
      <c r="D28" s="15">
        <f t="shared" si="12"/>
        <v>23.200000000000003</v>
      </c>
      <c r="E28" s="15">
        <f t="shared" si="13"/>
        <v>23.200000000000003</v>
      </c>
      <c r="F28" s="15">
        <f t="shared" si="14"/>
        <v>23.200000000000003</v>
      </c>
      <c r="G28" s="5"/>
      <c r="I28" s="25">
        <v>21.9</v>
      </c>
      <c r="J28" s="29">
        <f t="shared" si="4"/>
        <v>23.200000000000003</v>
      </c>
      <c r="L28" s="25">
        <v>21.9</v>
      </c>
      <c r="M28" s="29">
        <f t="shared" si="5"/>
        <v>23.200000000000003</v>
      </c>
      <c r="O28" s="25">
        <v>21.9</v>
      </c>
      <c r="P28" s="29">
        <f t="shared" si="6"/>
        <v>23.200000000000003</v>
      </c>
      <c r="R28" s="25">
        <v>21.9</v>
      </c>
      <c r="S28" s="29">
        <f t="shared" si="7"/>
        <v>23.200000000000003</v>
      </c>
    </row>
    <row r="29" spans="2:19" ht="27" customHeight="1">
      <c r="B29" s="6" t="s">
        <v>16</v>
      </c>
      <c r="C29" s="15">
        <f t="shared" si="11"/>
        <v>74.05</v>
      </c>
      <c r="D29" s="16">
        <v>74.05</v>
      </c>
      <c r="E29" s="16">
        <v>74.05</v>
      </c>
      <c r="F29" s="15">
        <f t="shared" si="14"/>
        <v>55.5</v>
      </c>
      <c r="G29" s="2"/>
      <c r="I29" s="25">
        <v>69.849999999999994</v>
      </c>
      <c r="J29" s="29">
        <f t="shared" si="4"/>
        <v>74.05</v>
      </c>
      <c r="M29" s="174" t="s">
        <v>122</v>
      </c>
      <c r="P29" s="174" t="s">
        <v>122</v>
      </c>
      <c r="R29" s="25">
        <v>52.36</v>
      </c>
      <c r="S29" s="29">
        <f t="shared" si="7"/>
        <v>55.5</v>
      </c>
    </row>
    <row r="30" spans="2:19" ht="12.75" customHeight="1">
      <c r="B30" s="7" t="s">
        <v>24</v>
      </c>
      <c r="C30" s="19"/>
      <c r="D30" s="19"/>
      <c r="E30" s="19"/>
      <c r="F30" s="19"/>
      <c r="G30" s="5"/>
      <c r="J30" s="25"/>
    </row>
    <row r="31" spans="2:19" ht="14.15" customHeight="1">
      <c r="B31" s="4" t="s">
        <v>9</v>
      </c>
      <c r="C31" s="14">
        <f t="shared" ref="C31:C34" si="15">J31</f>
        <v>134.45000000000002</v>
      </c>
      <c r="D31" s="14">
        <f t="shared" ref="D31:D34" si="16">M31</f>
        <v>155.75</v>
      </c>
      <c r="E31" s="14">
        <f t="shared" ref="E31:E34" si="17">P31</f>
        <v>155.75</v>
      </c>
      <c r="F31" s="14">
        <f t="shared" ref="F31:F38" si="18">S31</f>
        <v>82</v>
      </c>
      <c r="G31" s="5"/>
      <c r="I31" s="25">
        <v>126.85</v>
      </c>
      <c r="J31" s="29">
        <f t="shared" si="4"/>
        <v>134.45000000000002</v>
      </c>
      <c r="L31" s="25">
        <v>146.94999999999999</v>
      </c>
      <c r="M31" s="29">
        <f t="shared" si="5"/>
        <v>155.75</v>
      </c>
      <c r="O31" s="25">
        <v>146.94999999999999</v>
      </c>
      <c r="P31" s="29">
        <f t="shared" si="6"/>
        <v>155.75</v>
      </c>
      <c r="R31" s="25">
        <v>77.349999999999994</v>
      </c>
      <c r="S31" s="29">
        <f t="shared" si="7"/>
        <v>82</v>
      </c>
    </row>
    <row r="32" spans="2:19" ht="13" customHeight="1">
      <c r="B32" s="6" t="s">
        <v>10</v>
      </c>
      <c r="C32" s="15">
        <f t="shared" si="15"/>
        <v>135.95000000000002</v>
      </c>
      <c r="D32" s="15">
        <f t="shared" si="16"/>
        <v>158.80000000000001</v>
      </c>
      <c r="E32" s="15">
        <f t="shared" si="17"/>
        <v>158.80000000000001</v>
      </c>
      <c r="F32" s="15">
        <f t="shared" si="18"/>
        <v>82</v>
      </c>
      <c r="G32" s="5"/>
      <c r="I32" s="25">
        <v>128.25</v>
      </c>
      <c r="J32" s="29">
        <f t="shared" si="4"/>
        <v>135.95000000000002</v>
      </c>
      <c r="L32" s="25">
        <v>149.80000000000001</v>
      </c>
      <c r="M32" s="29">
        <f t="shared" si="5"/>
        <v>158.80000000000001</v>
      </c>
      <c r="O32" s="25">
        <v>149.80000000000001</v>
      </c>
      <c r="P32" s="29">
        <f t="shared" si="6"/>
        <v>158.80000000000001</v>
      </c>
      <c r="R32" s="25">
        <v>77.349999999999994</v>
      </c>
      <c r="S32" s="29">
        <f t="shared" si="7"/>
        <v>82</v>
      </c>
    </row>
    <row r="33" spans="2:19" ht="13" customHeight="1">
      <c r="B33" s="6" t="s">
        <v>11</v>
      </c>
      <c r="C33" s="15">
        <f t="shared" si="15"/>
        <v>137.5</v>
      </c>
      <c r="D33" s="15">
        <f t="shared" si="16"/>
        <v>160.35000000000002</v>
      </c>
      <c r="E33" s="15">
        <f t="shared" si="17"/>
        <v>160.35000000000002</v>
      </c>
      <c r="F33" s="15">
        <f t="shared" si="18"/>
        <v>82.800000000000011</v>
      </c>
      <c r="G33" s="5"/>
      <c r="I33" s="25">
        <v>129.69999999999999</v>
      </c>
      <c r="J33" s="29">
        <f t="shared" si="4"/>
        <v>137.5</v>
      </c>
      <c r="L33" s="25">
        <v>151.25</v>
      </c>
      <c r="M33" s="29">
        <f t="shared" si="5"/>
        <v>160.35000000000002</v>
      </c>
      <c r="O33" s="25">
        <v>151.25</v>
      </c>
      <c r="P33" s="29">
        <f t="shared" si="6"/>
        <v>160.35000000000002</v>
      </c>
      <c r="R33" s="25">
        <v>78.099999999999994</v>
      </c>
      <c r="S33" s="29">
        <f t="shared" si="7"/>
        <v>82.800000000000011</v>
      </c>
    </row>
    <row r="34" spans="2:19" ht="13" customHeight="1">
      <c r="B34" s="6" t="s">
        <v>12</v>
      </c>
      <c r="C34" s="15">
        <f t="shared" si="15"/>
        <v>137.5</v>
      </c>
      <c r="D34" s="15">
        <f t="shared" si="16"/>
        <v>160.35000000000002</v>
      </c>
      <c r="E34" s="15">
        <f t="shared" si="17"/>
        <v>160.35000000000002</v>
      </c>
      <c r="F34" s="15">
        <f t="shared" si="18"/>
        <v>82.800000000000011</v>
      </c>
      <c r="G34" s="5"/>
      <c r="I34" s="25">
        <v>129.69999999999999</v>
      </c>
      <c r="J34" s="29">
        <f t="shared" si="4"/>
        <v>137.5</v>
      </c>
      <c r="L34" s="25">
        <v>151.25</v>
      </c>
      <c r="M34" s="29">
        <f t="shared" si="5"/>
        <v>160.35000000000002</v>
      </c>
      <c r="O34" s="25">
        <v>151.25</v>
      </c>
      <c r="P34" s="29">
        <f t="shared" si="6"/>
        <v>160.35000000000002</v>
      </c>
      <c r="R34" s="25">
        <v>78.099999999999994</v>
      </c>
      <c r="S34" s="29">
        <f t="shared" si="7"/>
        <v>82.800000000000011</v>
      </c>
    </row>
    <row r="35" spans="2:19" ht="13" customHeight="1">
      <c r="B35" s="6" t="s">
        <v>13</v>
      </c>
      <c r="C35" s="16" t="s">
        <v>14</v>
      </c>
      <c r="D35" s="16" t="s">
        <v>14</v>
      </c>
      <c r="E35" s="16" t="s">
        <v>14</v>
      </c>
      <c r="F35" s="15">
        <f t="shared" si="18"/>
        <v>121.2</v>
      </c>
      <c r="G35" s="5"/>
      <c r="I35" s="25"/>
      <c r="J35" s="25"/>
      <c r="L35" s="25"/>
      <c r="R35" s="25">
        <v>114.35</v>
      </c>
      <c r="S35" s="29">
        <f t="shared" si="7"/>
        <v>121.2</v>
      </c>
    </row>
    <row r="36" spans="2:19" ht="13" customHeight="1">
      <c r="B36" s="6" t="s">
        <v>124</v>
      </c>
      <c r="C36" s="16">
        <v>172.5</v>
      </c>
      <c r="D36" s="16" t="s">
        <v>117</v>
      </c>
      <c r="E36" s="16" t="s">
        <v>117</v>
      </c>
      <c r="F36" s="15" t="s">
        <v>117</v>
      </c>
      <c r="G36" s="5"/>
      <c r="I36" s="25"/>
      <c r="J36" s="175" t="s">
        <v>122</v>
      </c>
      <c r="L36" s="25"/>
      <c r="R36" s="25"/>
      <c r="S36" s="29"/>
    </row>
    <row r="37" spans="2:19" ht="13" customHeight="1">
      <c r="B37" s="6" t="s">
        <v>25</v>
      </c>
      <c r="C37" s="15">
        <f t="shared" ref="C37:C38" si="19">J37</f>
        <v>27.75</v>
      </c>
      <c r="D37" s="15">
        <f t="shared" ref="D37:D38" si="20">M37</f>
        <v>46.25</v>
      </c>
      <c r="E37" s="15">
        <f t="shared" ref="E37:E38" si="21">P37</f>
        <v>46.25</v>
      </c>
      <c r="F37" s="15">
        <f t="shared" si="18"/>
        <v>18.55</v>
      </c>
      <c r="G37" s="5"/>
      <c r="I37" s="25">
        <v>26.2</v>
      </c>
      <c r="J37" s="29">
        <f t="shared" si="4"/>
        <v>27.75</v>
      </c>
      <c r="L37" s="25">
        <v>43.65</v>
      </c>
      <c r="M37" s="29">
        <f t="shared" si="5"/>
        <v>46.25</v>
      </c>
      <c r="O37" s="25">
        <v>43.65</v>
      </c>
      <c r="P37" s="29">
        <f t="shared" si="6"/>
        <v>46.25</v>
      </c>
      <c r="R37" s="25">
        <v>17.5</v>
      </c>
      <c r="S37" s="29">
        <f t="shared" si="7"/>
        <v>18.55</v>
      </c>
    </row>
    <row r="38" spans="2:19" ht="24.65" customHeight="1">
      <c r="B38" s="6" t="s">
        <v>16</v>
      </c>
      <c r="C38" s="15">
        <f t="shared" si="19"/>
        <v>46.25</v>
      </c>
      <c r="D38" s="15">
        <f t="shared" si="20"/>
        <v>92.5</v>
      </c>
      <c r="E38" s="15">
        <f t="shared" si="21"/>
        <v>92.5</v>
      </c>
      <c r="F38" s="15">
        <f t="shared" si="18"/>
        <v>43.150000000000006</v>
      </c>
      <c r="G38" s="2"/>
      <c r="I38" s="25">
        <v>43.65</v>
      </c>
      <c r="J38" s="29">
        <f t="shared" si="4"/>
        <v>46.25</v>
      </c>
      <c r="L38" s="25">
        <v>87.25</v>
      </c>
      <c r="M38" s="29">
        <f t="shared" si="5"/>
        <v>92.5</v>
      </c>
      <c r="O38" s="25">
        <v>87.25</v>
      </c>
      <c r="P38" s="29">
        <f t="shared" si="6"/>
        <v>92.5</v>
      </c>
      <c r="R38" s="25">
        <v>40.700000000000003</v>
      </c>
      <c r="S38" s="29">
        <f t="shared" si="7"/>
        <v>43.150000000000006</v>
      </c>
    </row>
    <row r="39" spans="2:19" ht="12.75" customHeight="1">
      <c r="B39" s="179" t="s">
        <v>53</v>
      </c>
      <c r="C39" s="179"/>
      <c r="D39" s="179"/>
      <c r="E39" s="179"/>
      <c r="F39" s="179"/>
      <c r="G39" s="5"/>
      <c r="I39" s="25">
        <v>6.6</v>
      </c>
      <c r="J39" s="29">
        <f t="shared" si="4"/>
        <v>7</v>
      </c>
    </row>
    <row r="40" spans="2:19" ht="13.75" customHeight="1">
      <c r="B40" s="179" t="s">
        <v>45</v>
      </c>
      <c r="C40" s="180"/>
      <c r="D40" s="180"/>
      <c r="E40" s="180"/>
      <c r="F40" s="180"/>
      <c r="G40" s="21"/>
      <c r="J40" s="25"/>
    </row>
    <row r="41" spans="2:19" ht="14.5" customHeight="1">
      <c r="B41" s="176" t="s">
        <v>54</v>
      </c>
      <c r="C41" s="177"/>
      <c r="D41" s="177"/>
      <c r="E41" s="177"/>
      <c r="F41" s="177"/>
      <c r="G41" s="2"/>
      <c r="I41" s="25">
        <v>23.1</v>
      </c>
      <c r="J41" s="29">
        <f t="shared" si="4"/>
        <v>24.5</v>
      </c>
    </row>
    <row r="42" spans="2:19" ht="12.75" customHeight="1">
      <c r="B42" s="176" t="s">
        <v>55</v>
      </c>
      <c r="C42" s="177"/>
      <c r="D42" s="177"/>
      <c r="E42" s="177"/>
      <c r="F42" s="177"/>
      <c r="G42" s="177"/>
      <c r="I42" s="25">
        <v>58.2</v>
      </c>
      <c r="J42" s="29">
        <f t="shared" si="4"/>
        <v>61.7</v>
      </c>
    </row>
  </sheetData>
  <mergeCells count="9">
    <mergeCell ref="B41:F41"/>
    <mergeCell ref="B42:G42"/>
    <mergeCell ref="B5:F5"/>
    <mergeCell ref="B40:F40"/>
    <mergeCell ref="B1:F1"/>
    <mergeCell ref="B2:F2"/>
    <mergeCell ref="B3:F3"/>
    <mergeCell ref="B4:F4"/>
    <mergeCell ref="B39:F39"/>
  </mergeCells>
  <pageMargins left="0.23622047244094499" right="0.23622047244094499" top="0.74803149606299202" bottom="0.74803149606299202" header="0.31496062992126" footer="0.31496062992126"/>
  <pageSetup scale="91" orientation="portrait" r:id="rId1"/>
  <headerFooter>
    <oddFooter>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7FB6-E2C2-47D1-A531-DEDD2AFE6819}">
  <sheetPr>
    <pageSetUpPr fitToPage="1"/>
  </sheetPr>
  <dimension ref="B1:I42"/>
  <sheetViews>
    <sheetView view="pageBreakPreview" zoomScale="120" zoomScaleNormal="100" zoomScaleSheetLayoutView="120" workbookViewId="0">
      <selection activeCell="B4" sqref="B4:F4"/>
    </sheetView>
  </sheetViews>
  <sheetFormatPr defaultRowHeight="13"/>
  <cols>
    <col min="1" max="1" width="6" customWidth="1"/>
    <col min="2" max="2" width="32.796875" customWidth="1"/>
    <col min="3" max="3" width="16.296875" customWidth="1"/>
    <col min="4" max="6" width="17.796875" customWidth="1"/>
    <col min="7" max="7" width="3.296875" customWidth="1"/>
  </cols>
  <sheetData>
    <row r="1" spans="2:9" ht="43.5" customHeight="1">
      <c r="B1" s="181"/>
      <c r="C1" s="181"/>
      <c r="D1" s="181"/>
      <c r="E1" s="181"/>
      <c r="F1" s="181"/>
      <c r="G1" s="1"/>
    </row>
    <row r="2" spans="2:9" ht="22" customHeight="1">
      <c r="B2" s="182" t="s">
        <v>0</v>
      </c>
      <c r="C2" s="182"/>
      <c r="D2" s="182"/>
      <c r="E2" s="182"/>
      <c r="F2" s="182"/>
      <c r="G2" s="2"/>
    </row>
    <row r="3" spans="2:9" ht="27" customHeight="1">
      <c r="B3" s="183" t="s">
        <v>125</v>
      </c>
      <c r="C3" s="182"/>
      <c r="D3" s="182"/>
      <c r="E3" s="182"/>
      <c r="F3" s="182"/>
      <c r="G3" s="2"/>
    </row>
    <row r="4" spans="2:9" ht="21" customHeight="1">
      <c r="B4" s="178" t="s">
        <v>48</v>
      </c>
      <c r="C4" s="184"/>
      <c r="D4" s="184"/>
      <c r="E4" s="184"/>
      <c r="F4" s="184"/>
      <c r="G4" s="1"/>
      <c r="I4" s="31" t="s">
        <v>57</v>
      </c>
    </row>
    <row r="5" spans="2:9" ht="40.75" customHeight="1">
      <c r="B5" s="178" t="s">
        <v>47</v>
      </c>
      <c r="C5" s="178"/>
      <c r="D5" s="178"/>
      <c r="E5" s="178"/>
      <c r="F5" s="178"/>
      <c r="G5" s="1"/>
    </row>
    <row r="6" spans="2:9" ht="36" customHeight="1"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1"/>
    </row>
    <row r="7" spans="2:9" ht="13" customHeight="1">
      <c r="B7" s="4" t="s">
        <v>6</v>
      </c>
      <c r="C7" s="14">
        <f>'Door Pricing'!C7*1.05</f>
        <v>43.680000000000007</v>
      </c>
      <c r="D7" s="14">
        <f>'Door Pricing'!D7*1.05</f>
        <v>48.772500000000008</v>
      </c>
      <c r="E7" s="14">
        <f>'Door Pricing'!E7*1.05</f>
        <v>53.865000000000009</v>
      </c>
      <c r="F7" s="14">
        <f>'Door Pricing'!F7*1.05</f>
        <v>30.502500000000001</v>
      </c>
      <c r="G7" s="5"/>
    </row>
    <row r="8" spans="2:9" ht="14.15" customHeight="1">
      <c r="B8" s="6" t="s">
        <v>7</v>
      </c>
      <c r="C8" s="15">
        <f>'Door Pricing'!C8*1.05</f>
        <v>47.355000000000004</v>
      </c>
      <c r="D8" s="15">
        <f>'Door Pricing'!D8*1.05</f>
        <v>52.447500000000005</v>
      </c>
      <c r="E8" s="15">
        <f>'Door Pricing'!E8*1.05</f>
        <v>57.540000000000006</v>
      </c>
      <c r="F8" s="15">
        <f>'Door Pricing'!F8*1.05</f>
        <v>34.282499999999999</v>
      </c>
      <c r="G8" s="5"/>
    </row>
    <row r="9" spans="2:9" ht="12.75" customHeight="1">
      <c r="B9" s="6" t="s">
        <v>8</v>
      </c>
      <c r="C9" s="15">
        <f>'Door Pricing'!C9*1.05</f>
        <v>48.5625</v>
      </c>
      <c r="D9" s="15">
        <f>'Door Pricing'!D9*1.05</f>
        <v>53.655000000000001</v>
      </c>
      <c r="E9" s="15">
        <f>'Door Pricing'!E9*1.05</f>
        <v>58.747500000000002</v>
      </c>
      <c r="F9" s="15">
        <f>'Door Pricing'!F9*1.05</f>
        <v>34.807499999999997</v>
      </c>
      <c r="G9" s="5"/>
    </row>
    <row r="10" spans="2:9" ht="13" customHeight="1">
      <c r="B10" s="6" t="s">
        <v>9</v>
      </c>
      <c r="C10" s="15">
        <f>'Door Pricing'!C10*1.05</f>
        <v>48.982500000000009</v>
      </c>
      <c r="D10" s="15">
        <f>'Door Pricing'!D10*1.05</f>
        <v>53.970000000000006</v>
      </c>
      <c r="E10" s="15">
        <f>'Door Pricing'!E10*1.05</f>
        <v>59.167500000000004</v>
      </c>
      <c r="F10" s="15">
        <f>'Door Pricing'!F10*1.05</f>
        <v>36.855000000000004</v>
      </c>
      <c r="G10" s="5"/>
    </row>
    <row r="11" spans="2:9" ht="13" customHeight="1">
      <c r="B11" s="6" t="s">
        <v>10</v>
      </c>
      <c r="C11" s="15">
        <f>'Door Pricing'!C11*1.05</f>
        <v>51.292500000000004</v>
      </c>
      <c r="D11" s="15">
        <f>'Door Pricing'!D11*1.05</f>
        <v>56.4375</v>
      </c>
      <c r="E11" s="15">
        <f>'Door Pricing'!E11*1.05</f>
        <v>61.58250000000001</v>
      </c>
      <c r="F11" s="15">
        <f>'Door Pricing'!F11*1.05</f>
        <v>37.747500000000002</v>
      </c>
      <c r="G11" s="5"/>
    </row>
    <row r="12" spans="2:9" ht="13" customHeight="1">
      <c r="B12" s="6" t="s">
        <v>11</v>
      </c>
      <c r="C12" s="15">
        <f>'Door Pricing'!C12*1.05</f>
        <v>53.760000000000005</v>
      </c>
      <c r="D12" s="15">
        <f>'Door Pricing'!D12*1.05</f>
        <v>58.852500000000006</v>
      </c>
      <c r="E12" s="15">
        <f>'Door Pricing'!E12*1.05</f>
        <v>63.892500000000005</v>
      </c>
      <c r="F12" s="15">
        <f>'Door Pricing'!F12*1.05</f>
        <v>38.587499999999999</v>
      </c>
      <c r="G12" s="5"/>
    </row>
    <row r="13" spans="2:9" ht="13" customHeight="1">
      <c r="B13" s="6" t="s">
        <v>12</v>
      </c>
      <c r="C13" s="15">
        <f>'Door Pricing'!C13*1.05</f>
        <v>53.760000000000005</v>
      </c>
      <c r="D13" s="15">
        <f>'Door Pricing'!D13*1.05</f>
        <v>58.852500000000006</v>
      </c>
      <c r="E13" s="15">
        <f>'Door Pricing'!E13*1.05</f>
        <v>63.892500000000005</v>
      </c>
      <c r="F13" s="15">
        <f>'Door Pricing'!F13*1.05</f>
        <v>38.587499999999999</v>
      </c>
      <c r="G13" s="5"/>
    </row>
    <row r="14" spans="2:9" ht="13" customHeight="1">
      <c r="B14" s="6" t="s">
        <v>13</v>
      </c>
      <c r="C14" s="15" t="s">
        <v>14</v>
      </c>
      <c r="D14" s="15" t="s">
        <v>14</v>
      </c>
      <c r="E14" s="15" t="s">
        <v>14</v>
      </c>
      <c r="F14" s="15">
        <f>'Door Pricing'!F14*1.05</f>
        <v>68.932500000000005</v>
      </c>
      <c r="G14" s="5"/>
    </row>
    <row r="15" spans="2:9" ht="13" customHeight="1">
      <c r="B15" s="6" t="s">
        <v>124</v>
      </c>
      <c r="C15" s="15">
        <f>'Door Pricing'!C15*1.05</f>
        <v>87.360000000000014</v>
      </c>
      <c r="D15" s="15" t="s">
        <v>117</v>
      </c>
      <c r="E15" s="15" t="s">
        <v>117</v>
      </c>
      <c r="F15" s="15" t="s">
        <v>117</v>
      </c>
      <c r="G15" s="5"/>
    </row>
    <row r="16" spans="2:9" ht="14.15" customHeight="1">
      <c r="B16" s="6" t="s">
        <v>15</v>
      </c>
      <c r="C16" s="15">
        <f>'Door Pricing'!C16</f>
        <v>20.05</v>
      </c>
      <c r="D16" s="15">
        <f>'Door Pricing'!D16</f>
        <v>24.700000000000003</v>
      </c>
      <c r="E16" s="15">
        <f>'Door Pricing'!E16</f>
        <v>24.700000000000003</v>
      </c>
      <c r="F16" s="15">
        <f>'Door Pricing'!F16</f>
        <v>12.350000000000001</v>
      </c>
      <c r="G16" s="5"/>
    </row>
    <row r="17" spans="2:7" ht="26.15" customHeight="1">
      <c r="B17" s="6" t="s">
        <v>16</v>
      </c>
      <c r="C17" s="15">
        <f>'Door Pricing'!C17</f>
        <v>35.450000000000003</v>
      </c>
      <c r="D17" s="15">
        <f>'Door Pricing'!D17</f>
        <v>46.25</v>
      </c>
      <c r="E17" s="15">
        <f>'Door Pricing'!E17</f>
        <v>46.25</v>
      </c>
      <c r="F17" s="15">
        <f>'Door Pricing'!F17</f>
        <v>24.700000000000003</v>
      </c>
      <c r="G17" s="2"/>
    </row>
    <row r="18" spans="2:7" ht="12.75" customHeight="1">
      <c r="B18" s="6" t="s">
        <v>17</v>
      </c>
      <c r="C18" s="15">
        <f>'Door Pricing'!C18</f>
        <v>44.300000000000004</v>
      </c>
      <c r="D18" s="15">
        <f>'Door Pricing'!D18</f>
        <v>44.300000000000004</v>
      </c>
      <c r="E18" s="15">
        <f>'Door Pricing'!E18</f>
        <v>44.300000000000004</v>
      </c>
      <c r="F18" s="15">
        <f>'Door Pricing'!F18</f>
        <v>36.35</v>
      </c>
      <c r="G18" s="5"/>
    </row>
    <row r="19" spans="2:7" ht="13" customHeight="1">
      <c r="B19" s="6" t="s">
        <v>18</v>
      </c>
      <c r="C19" s="15">
        <f>'Door Pricing'!C19</f>
        <v>52.45</v>
      </c>
      <c r="D19" s="15">
        <f>'Door Pricing'!D19</f>
        <v>52.45</v>
      </c>
      <c r="E19" s="15">
        <f>'Door Pricing'!E19</f>
        <v>52.45</v>
      </c>
      <c r="F19" s="15">
        <f>'Door Pricing'!F19</f>
        <v>41.300000000000004</v>
      </c>
      <c r="G19" s="5"/>
    </row>
    <row r="20" spans="2:7" ht="13" customHeight="1">
      <c r="B20" s="6" t="s">
        <v>19</v>
      </c>
      <c r="C20" s="15">
        <f>'Door Pricing'!C20</f>
        <v>99.100000000000009</v>
      </c>
      <c r="D20" s="15">
        <f>'Door Pricing'!D20</f>
        <v>99.100000000000009</v>
      </c>
      <c r="E20" s="15">
        <f>'Door Pricing'!E20</f>
        <v>99.100000000000009</v>
      </c>
      <c r="F20" s="15">
        <f>'Door Pricing'!F20</f>
        <v>59.85</v>
      </c>
      <c r="G20" s="5"/>
    </row>
    <row r="21" spans="2:7" ht="16" customHeight="1">
      <c r="B21" s="30" t="s">
        <v>115</v>
      </c>
      <c r="C21" s="15">
        <f>'Door Pricing'!C21</f>
        <v>20</v>
      </c>
      <c r="D21" s="15" t="s">
        <v>14</v>
      </c>
      <c r="E21" s="15" t="s">
        <v>14</v>
      </c>
      <c r="F21" s="15">
        <f>'Door Pricing'!F21</f>
        <v>21.1</v>
      </c>
      <c r="G21" s="5"/>
    </row>
    <row r="22" spans="2:7" ht="14.15" customHeight="1">
      <c r="B22" s="30" t="s">
        <v>116</v>
      </c>
      <c r="C22" s="15">
        <f>'Door Pricing'!C22</f>
        <v>25</v>
      </c>
      <c r="D22" s="15" t="s">
        <v>117</v>
      </c>
      <c r="E22" s="15" t="s">
        <v>117</v>
      </c>
      <c r="F22" s="15">
        <f>'Door Pricing'!F22</f>
        <v>25</v>
      </c>
      <c r="G22" s="5"/>
    </row>
    <row r="23" spans="2:7" ht="32.15" customHeight="1">
      <c r="B23" s="6" t="s">
        <v>20</v>
      </c>
      <c r="C23" s="15"/>
      <c r="D23" s="15"/>
      <c r="E23" s="15"/>
      <c r="F23" s="15"/>
      <c r="G23" s="2"/>
    </row>
    <row r="24" spans="2:7" ht="28" customHeight="1">
      <c r="B24" s="20" t="s">
        <v>43</v>
      </c>
      <c r="C24" s="18"/>
      <c r="D24" s="18"/>
      <c r="E24" s="18"/>
      <c r="F24" s="18"/>
      <c r="G24" s="2"/>
    </row>
    <row r="25" spans="2:7" ht="14.15" customHeight="1">
      <c r="B25" s="4" t="s">
        <v>21</v>
      </c>
      <c r="C25" s="15">
        <f>'Door Pricing'!C25*1.05</f>
        <v>60.585000000000008</v>
      </c>
      <c r="D25" s="15">
        <f>'Door Pricing'!D25*1.05</f>
        <v>65.625</v>
      </c>
      <c r="E25" s="15">
        <f>'Door Pricing'!E25*1.05</f>
        <v>70.77000000000001</v>
      </c>
      <c r="F25" s="15">
        <f>'Door Pricing'!F25*1.05</f>
        <v>50.820000000000007</v>
      </c>
      <c r="G25" s="5"/>
    </row>
    <row r="26" spans="2:7" ht="13" customHeight="1">
      <c r="B26" s="6" t="s">
        <v>22</v>
      </c>
      <c r="C26" s="15">
        <f>'Door Pricing'!C26*1.05</f>
        <v>64.365000000000009</v>
      </c>
      <c r="D26" s="15">
        <f>'Door Pricing'!D26*1.05</f>
        <v>69.405000000000015</v>
      </c>
      <c r="E26" s="15">
        <f>'Door Pricing'!E26*1.05</f>
        <v>74.55</v>
      </c>
      <c r="F26" s="15">
        <f>'Door Pricing'!F26*1.05</f>
        <v>54.967500000000001</v>
      </c>
      <c r="G26" s="5"/>
    </row>
    <row r="27" spans="2:7" ht="24" customHeight="1">
      <c r="B27" s="6" t="s">
        <v>23</v>
      </c>
      <c r="C27" s="15">
        <f>'Door Pricing'!C27*1.05</f>
        <v>68.14500000000001</v>
      </c>
      <c r="D27" s="15">
        <f>'Door Pricing'!D27*1.05</f>
        <v>73.342500000000015</v>
      </c>
      <c r="E27" s="15">
        <f>'Door Pricing'!E27*1.05</f>
        <v>78.330000000000013</v>
      </c>
      <c r="F27" s="15">
        <f>'Door Pricing'!F27*1.05</f>
        <v>59.272500000000008</v>
      </c>
      <c r="G27" s="2"/>
    </row>
    <row r="28" spans="2:7" ht="12.75" customHeight="1">
      <c r="B28" s="6" t="s">
        <v>15</v>
      </c>
      <c r="C28" s="15">
        <f>'Door Pricing'!C28</f>
        <v>23.200000000000003</v>
      </c>
      <c r="D28" s="15">
        <f>'Door Pricing'!D28</f>
        <v>23.200000000000003</v>
      </c>
      <c r="E28" s="15">
        <f>'Door Pricing'!E28</f>
        <v>23.200000000000003</v>
      </c>
      <c r="F28" s="15">
        <f>'Door Pricing'!F28</f>
        <v>23.200000000000003</v>
      </c>
      <c r="G28" s="5"/>
    </row>
    <row r="29" spans="2:7" ht="27" customHeight="1">
      <c r="B29" s="6" t="s">
        <v>16</v>
      </c>
      <c r="C29" s="15">
        <f>'Door Pricing'!C29</f>
        <v>74.05</v>
      </c>
      <c r="D29" s="15">
        <f>'Door Pricing'!D29</f>
        <v>74.05</v>
      </c>
      <c r="E29" s="15">
        <f>'Door Pricing'!E29</f>
        <v>74.05</v>
      </c>
      <c r="F29" s="15">
        <f>'Door Pricing'!F29</f>
        <v>55.5</v>
      </c>
      <c r="G29" s="2"/>
    </row>
    <row r="30" spans="2:7" ht="12.75" customHeight="1">
      <c r="B30" s="7" t="s">
        <v>24</v>
      </c>
      <c r="C30" s="19"/>
      <c r="D30" s="19"/>
      <c r="E30" s="19"/>
      <c r="F30" s="19"/>
      <c r="G30" s="5"/>
    </row>
    <row r="31" spans="2:7" ht="14.15" customHeight="1">
      <c r="B31" s="4" t="s">
        <v>9</v>
      </c>
      <c r="C31" s="15">
        <f>'Door Pricing'!C31*1.05</f>
        <v>141.17250000000001</v>
      </c>
      <c r="D31" s="15">
        <f>'Door Pricing'!D31*1.05</f>
        <v>163.53749999999999</v>
      </c>
      <c r="E31" s="15">
        <f>'Door Pricing'!E31*1.05</f>
        <v>163.53749999999999</v>
      </c>
      <c r="F31" s="15">
        <f>'Door Pricing'!F31*1.05</f>
        <v>86.100000000000009</v>
      </c>
      <c r="G31" s="5"/>
    </row>
    <row r="32" spans="2:7" ht="13" customHeight="1">
      <c r="B32" s="6" t="s">
        <v>10</v>
      </c>
      <c r="C32" s="15">
        <f>'Door Pricing'!C32*1.05</f>
        <v>142.74750000000003</v>
      </c>
      <c r="D32" s="15">
        <f>'Door Pricing'!D32*1.05</f>
        <v>166.74</v>
      </c>
      <c r="E32" s="15">
        <f>'Door Pricing'!E32*1.05</f>
        <v>166.74</v>
      </c>
      <c r="F32" s="15">
        <f>'Door Pricing'!F32*1.05</f>
        <v>86.100000000000009</v>
      </c>
      <c r="G32" s="5"/>
    </row>
    <row r="33" spans="2:9" ht="13" customHeight="1">
      <c r="B33" s="6" t="s">
        <v>11</v>
      </c>
      <c r="C33" s="15">
        <f>'Door Pricing'!C33*1.05</f>
        <v>144.375</v>
      </c>
      <c r="D33" s="15">
        <f>'Door Pricing'!D33*1.05</f>
        <v>168.36750000000004</v>
      </c>
      <c r="E33" s="15">
        <f>'Door Pricing'!E33*1.05</f>
        <v>168.36750000000004</v>
      </c>
      <c r="F33" s="15">
        <f>'Door Pricing'!F33*1.05</f>
        <v>86.940000000000012</v>
      </c>
      <c r="G33" s="5"/>
    </row>
    <row r="34" spans="2:9" ht="13" customHeight="1">
      <c r="B34" s="6" t="s">
        <v>12</v>
      </c>
      <c r="C34" s="15">
        <f>'Door Pricing'!C34*1.05</f>
        <v>144.375</v>
      </c>
      <c r="D34" s="15">
        <f>'Door Pricing'!D34*1.05</f>
        <v>168.36750000000004</v>
      </c>
      <c r="E34" s="15">
        <f>'Door Pricing'!E34*1.05</f>
        <v>168.36750000000004</v>
      </c>
      <c r="F34" s="15">
        <f>'Door Pricing'!F34*1.05</f>
        <v>86.940000000000012</v>
      </c>
      <c r="G34" s="5"/>
    </row>
    <row r="35" spans="2:9" ht="13" customHeight="1">
      <c r="B35" s="6" t="s">
        <v>13</v>
      </c>
      <c r="C35" s="15" t="s">
        <v>14</v>
      </c>
      <c r="D35" s="15" t="s">
        <v>14</v>
      </c>
      <c r="E35" s="15" t="s">
        <v>14</v>
      </c>
      <c r="F35" s="15">
        <f>'Door Pricing'!F35*1.05</f>
        <v>127.26</v>
      </c>
      <c r="G35" s="5"/>
    </row>
    <row r="36" spans="2:9" ht="13" customHeight="1">
      <c r="B36" s="6" t="s">
        <v>124</v>
      </c>
      <c r="C36" s="15">
        <f>'Door Pricing'!C36*1.05</f>
        <v>181.125</v>
      </c>
      <c r="D36" s="15" t="s">
        <v>117</v>
      </c>
      <c r="E36" s="15" t="s">
        <v>117</v>
      </c>
      <c r="F36" s="15" t="s">
        <v>117</v>
      </c>
      <c r="G36" s="5"/>
    </row>
    <row r="37" spans="2:9" ht="13" customHeight="1">
      <c r="B37" s="6" t="s">
        <v>25</v>
      </c>
      <c r="C37" s="15">
        <f>'Door Pricing'!C37</f>
        <v>27.75</v>
      </c>
      <c r="D37" s="15">
        <f>'Door Pricing'!D37</f>
        <v>46.25</v>
      </c>
      <c r="E37" s="15">
        <f>'Door Pricing'!E37</f>
        <v>46.25</v>
      </c>
      <c r="F37" s="15">
        <f>'Door Pricing'!F37</f>
        <v>18.55</v>
      </c>
      <c r="G37" s="5"/>
    </row>
    <row r="38" spans="2:9" ht="31.75" customHeight="1">
      <c r="B38" s="6" t="s">
        <v>16</v>
      </c>
      <c r="C38" s="15">
        <f>'Door Pricing'!C38</f>
        <v>46.25</v>
      </c>
      <c r="D38" s="15">
        <f>'Door Pricing'!D38</f>
        <v>92.5</v>
      </c>
      <c r="E38" s="15">
        <f>'Door Pricing'!E38</f>
        <v>92.5</v>
      </c>
      <c r="F38" s="15">
        <f>'Door Pricing'!F38</f>
        <v>43.150000000000006</v>
      </c>
      <c r="G38" s="2"/>
    </row>
    <row r="39" spans="2:9" ht="12.75" customHeight="1">
      <c r="B39" s="179" t="s">
        <v>53</v>
      </c>
      <c r="C39" s="179"/>
      <c r="D39" s="179"/>
      <c r="E39" s="179"/>
      <c r="F39" s="179"/>
      <c r="G39" s="5"/>
      <c r="I39" s="31" t="s">
        <v>56</v>
      </c>
    </row>
    <row r="40" spans="2:9" ht="14.5" customHeight="1">
      <c r="B40" s="176" t="s">
        <v>54</v>
      </c>
      <c r="C40" s="177"/>
      <c r="D40" s="177"/>
      <c r="E40" s="177"/>
      <c r="F40" s="177"/>
      <c r="G40" s="2"/>
      <c r="I40" s="31" t="s">
        <v>56</v>
      </c>
    </row>
    <row r="41" spans="2:9" ht="12.75" customHeight="1">
      <c r="B41" s="176" t="s">
        <v>55</v>
      </c>
      <c r="C41" s="177"/>
      <c r="D41" s="177"/>
      <c r="E41" s="177"/>
      <c r="F41" s="177"/>
      <c r="G41" s="177"/>
      <c r="I41" s="31" t="s">
        <v>56</v>
      </c>
    </row>
    <row r="42" spans="2:9" ht="13.75" customHeight="1">
      <c r="B42" s="185"/>
      <c r="C42" s="185"/>
      <c r="D42" s="185"/>
      <c r="E42" s="185"/>
      <c r="F42" s="185"/>
      <c r="G42" s="185"/>
    </row>
  </sheetData>
  <mergeCells count="9">
    <mergeCell ref="B39:F39"/>
    <mergeCell ref="B40:F40"/>
    <mergeCell ref="B41:G41"/>
    <mergeCell ref="B42:G42"/>
    <mergeCell ref="B1:F1"/>
    <mergeCell ref="B2:F2"/>
    <mergeCell ref="B3:F3"/>
    <mergeCell ref="B4:F4"/>
    <mergeCell ref="B5:F5"/>
  </mergeCells>
  <pageMargins left="0.23622047244094499" right="0.23622047244094499" top="0.74803149606299202" bottom="0.74803149606299202" header="0.31496062992126" footer="0.31496062992126"/>
  <pageSetup scale="91" orientation="portrait" r:id="rId1"/>
  <headerFooter>
    <oddFooter>&amp;R&amp;P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5598-0D33-482E-9EA5-9C0C16EABBE6}">
  <sheetPr>
    <pageSetUpPr fitToPage="1"/>
  </sheetPr>
  <dimension ref="A1:H27"/>
  <sheetViews>
    <sheetView topLeftCell="A2" zoomScaleNormal="100" zoomScaleSheetLayoutView="90" workbookViewId="0">
      <selection activeCell="A4" sqref="A4:D4"/>
    </sheetView>
  </sheetViews>
  <sheetFormatPr defaultRowHeight="13"/>
  <cols>
    <col min="1" max="1" width="38.296875" customWidth="1"/>
    <col min="2" max="2" width="17.796875" customWidth="1"/>
    <col min="3" max="3" width="30.5" customWidth="1"/>
    <col min="4" max="4" width="25.296875" customWidth="1"/>
    <col min="5" max="5" width="8.296875" customWidth="1"/>
    <col min="6" max="6" width="14.19921875" bestFit="1" customWidth="1"/>
    <col min="7" max="7" width="10.796875" bestFit="1" customWidth="1"/>
    <col min="8" max="8" width="13.69921875" bestFit="1" customWidth="1"/>
  </cols>
  <sheetData>
    <row r="1" spans="1:8" ht="58.5" customHeight="1">
      <c r="A1" s="181"/>
      <c r="B1" s="181"/>
      <c r="C1" s="181"/>
      <c r="D1" s="181"/>
      <c r="E1" s="181"/>
      <c r="F1" s="33"/>
      <c r="G1" s="33"/>
    </row>
    <row r="2" spans="1:8" ht="22.75" customHeight="1">
      <c r="A2" s="183" t="s">
        <v>42</v>
      </c>
      <c r="B2" s="183"/>
      <c r="C2" s="183"/>
      <c r="D2" s="183"/>
      <c r="E2" s="11"/>
      <c r="F2" s="34"/>
      <c r="G2" s="34"/>
    </row>
    <row r="3" spans="1:8" ht="24.65" customHeight="1">
      <c r="A3" s="183" t="s">
        <v>126</v>
      </c>
      <c r="B3" s="183"/>
      <c r="C3" s="183"/>
      <c r="D3" s="183"/>
      <c r="E3" s="11"/>
      <c r="F3" s="34"/>
      <c r="G3" s="34"/>
    </row>
    <row r="4" spans="1:8" ht="20">
      <c r="A4" s="178" t="s">
        <v>48</v>
      </c>
      <c r="B4" s="178"/>
      <c r="C4" s="178"/>
      <c r="D4" s="178"/>
      <c r="E4" s="13"/>
      <c r="F4" s="35" t="s">
        <v>57</v>
      </c>
      <c r="G4" s="34"/>
    </row>
    <row r="5" spans="1:8" ht="60" customHeight="1">
      <c r="A5" s="12"/>
      <c r="B5" s="12"/>
      <c r="C5" s="12"/>
      <c r="D5" s="12"/>
      <c r="E5" s="13"/>
      <c r="F5" s="2"/>
      <c r="G5" s="2"/>
    </row>
    <row r="6" spans="1:8" ht="34.5" customHeight="1">
      <c r="A6" s="13" t="s">
        <v>26</v>
      </c>
      <c r="B6" s="13"/>
      <c r="C6" s="13"/>
      <c r="D6" s="13"/>
      <c r="E6" s="13"/>
      <c r="F6" s="37" t="s">
        <v>49</v>
      </c>
      <c r="G6" s="37" t="s">
        <v>51</v>
      </c>
      <c r="H6" s="31" t="s">
        <v>50</v>
      </c>
    </row>
    <row r="7" spans="1:8" ht="17.25" customHeight="1">
      <c r="A7" s="186" t="s">
        <v>27</v>
      </c>
      <c r="B7" s="186"/>
      <c r="D7" s="24">
        <f>H7</f>
        <v>4.6500000000000004</v>
      </c>
      <c r="E7" s="22"/>
      <c r="F7" s="39">
        <v>4.4000000000000004</v>
      </c>
      <c r="G7" s="38">
        <v>0.06</v>
      </c>
      <c r="H7" s="29">
        <f>MROUND(F7*(1+G7),0.05)</f>
        <v>4.6500000000000004</v>
      </c>
    </row>
    <row r="8" spans="1:8" ht="23.15" customHeight="1">
      <c r="A8" s="186" t="s">
        <v>28</v>
      </c>
      <c r="B8" s="186"/>
      <c r="D8" s="24">
        <f t="shared" ref="D8:D23" si="0">H8</f>
        <v>16.3</v>
      </c>
      <c r="E8" s="22"/>
      <c r="F8" s="39">
        <v>15.4</v>
      </c>
      <c r="G8" s="38">
        <v>0.06</v>
      </c>
      <c r="H8" s="29">
        <f t="shared" ref="H8:H23" si="1">MROUND(F8*(1+G8),0.05)</f>
        <v>16.3</v>
      </c>
    </row>
    <row r="9" spans="1:8" ht="23.15" customHeight="1">
      <c r="A9" s="172" t="s">
        <v>118</v>
      </c>
      <c r="B9" s="171"/>
      <c r="D9" s="24">
        <v>24.5</v>
      </c>
      <c r="E9" s="22"/>
      <c r="G9" s="38"/>
      <c r="H9" s="173" t="s">
        <v>123</v>
      </c>
    </row>
    <row r="10" spans="1:8" ht="23.15" customHeight="1">
      <c r="A10" s="171"/>
      <c r="B10" s="171"/>
      <c r="D10" s="24"/>
      <c r="E10" s="22"/>
      <c r="G10" s="38"/>
      <c r="H10" s="39"/>
    </row>
    <row r="11" spans="1:8" ht="23.15" customHeight="1">
      <c r="A11" s="172" t="s">
        <v>119</v>
      </c>
      <c r="B11" s="171"/>
      <c r="D11" s="24">
        <v>265</v>
      </c>
      <c r="E11" s="22"/>
      <c r="G11" s="38"/>
      <c r="H11" s="173" t="s">
        <v>122</v>
      </c>
    </row>
    <row r="12" spans="1:8" ht="23.15" customHeight="1">
      <c r="A12" s="172" t="s">
        <v>120</v>
      </c>
      <c r="B12" s="171"/>
      <c r="D12" s="24">
        <v>411.3</v>
      </c>
      <c r="E12" s="22"/>
      <c r="G12" s="38"/>
      <c r="H12" s="173" t="s">
        <v>122</v>
      </c>
    </row>
    <row r="13" spans="1:8" ht="23.15" customHeight="1">
      <c r="A13" s="171"/>
      <c r="B13" s="171"/>
      <c r="D13" s="24"/>
      <c r="E13" s="22"/>
      <c r="G13" s="38"/>
      <c r="H13" s="39"/>
    </row>
    <row r="14" spans="1:8" ht="23.15" customHeight="1">
      <c r="A14" s="172" t="s">
        <v>121</v>
      </c>
      <c r="B14" s="171"/>
      <c r="D14" s="24">
        <v>379.5</v>
      </c>
      <c r="E14" s="22"/>
      <c r="G14" s="38"/>
      <c r="H14" s="173" t="s">
        <v>122</v>
      </c>
    </row>
    <row r="15" spans="1:8" ht="23.15" customHeight="1">
      <c r="A15" s="171"/>
      <c r="B15" s="171"/>
      <c r="D15" s="24"/>
      <c r="E15" s="22"/>
      <c r="F15" s="39"/>
      <c r="G15" s="38"/>
      <c r="H15" s="29"/>
    </row>
    <row r="16" spans="1:8" ht="31" customHeight="1">
      <c r="A16" s="186" t="s">
        <v>29</v>
      </c>
      <c r="B16" s="186"/>
      <c r="D16" s="24">
        <f t="shared" si="0"/>
        <v>5.8500000000000005</v>
      </c>
      <c r="E16" s="22"/>
      <c r="F16" s="40">
        <v>5.5</v>
      </c>
      <c r="G16" s="38">
        <v>0.06</v>
      </c>
      <c r="H16" s="29">
        <f t="shared" si="1"/>
        <v>5.8500000000000005</v>
      </c>
    </row>
    <row r="17" spans="1:8" ht="23.15" customHeight="1">
      <c r="A17" s="186" t="s">
        <v>30</v>
      </c>
      <c r="B17" s="186"/>
      <c r="D17" s="24">
        <f t="shared" si="0"/>
        <v>29.150000000000002</v>
      </c>
      <c r="E17" s="22"/>
      <c r="F17" s="39">
        <v>27.5</v>
      </c>
      <c r="G17" s="38">
        <v>0.06</v>
      </c>
      <c r="H17" s="29">
        <f t="shared" si="1"/>
        <v>29.150000000000002</v>
      </c>
    </row>
    <row r="18" spans="1:8" ht="17.25" customHeight="1">
      <c r="A18" s="186" t="s">
        <v>31</v>
      </c>
      <c r="B18" s="186"/>
      <c r="D18" s="24">
        <f t="shared" si="0"/>
        <v>40.800000000000004</v>
      </c>
      <c r="E18" s="22"/>
      <c r="F18" s="39">
        <v>38.5</v>
      </c>
      <c r="G18" s="38">
        <v>0.06</v>
      </c>
      <c r="H18" s="29">
        <f t="shared" si="1"/>
        <v>40.800000000000004</v>
      </c>
    </row>
    <row r="19" spans="1:8" ht="17.25" customHeight="1">
      <c r="A19" s="186" t="s">
        <v>32</v>
      </c>
      <c r="B19" s="186"/>
      <c r="D19" s="24">
        <f t="shared" si="0"/>
        <v>4.6500000000000004</v>
      </c>
      <c r="E19" s="22"/>
      <c r="F19" s="39">
        <v>4.4000000000000004</v>
      </c>
      <c r="G19" s="38">
        <v>0.06</v>
      </c>
      <c r="H19" s="29">
        <f t="shared" si="1"/>
        <v>4.6500000000000004</v>
      </c>
    </row>
    <row r="20" spans="1:8" ht="23.15" customHeight="1">
      <c r="A20" s="186" t="s">
        <v>33</v>
      </c>
      <c r="B20" s="186"/>
      <c r="D20" s="24">
        <f t="shared" si="0"/>
        <v>4.6500000000000004</v>
      </c>
      <c r="E20" s="22"/>
      <c r="F20" s="39">
        <v>4.4000000000000004</v>
      </c>
      <c r="G20" s="38">
        <v>0.06</v>
      </c>
      <c r="H20" s="29">
        <f t="shared" si="1"/>
        <v>4.6500000000000004</v>
      </c>
    </row>
    <row r="21" spans="1:8" ht="23.15" customHeight="1">
      <c r="A21" s="186" t="s">
        <v>34</v>
      </c>
      <c r="B21" s="186"/>
      <c r="D21" s="24">
        <f t="shared" si="0"/>
        <v>35</v>
      </c>
      <c r="E21" s="22"/>
      <c r="F21" s="39">
        <v>33</v>
      </c>
      <c r="G21" s="38">
        <v>0.06</v>
      </c>
      <c r="H21" s="29">
        <f t="shared" si="1"/>
        <v>35</v>
      </c>
    </row>
    <row r="22" spans="1:8" ht="30" customHeight="1">
      <c r="A22" s="186" t="s">
        <v>35</v>
      </c>
      <c r="B22" s="186"/>
      <c r="D22" s="24">
        <f t="shared" si="0"/>
        <v>23.3</v>
      </c>
      <c r="E22" s="22"/>
      <c r="F22" s="40">
        <v>22</v>
      </c>
      <c r="G22" s="38">
        <v>0.06</v>
      </c>
      <c r="H22" s="29">
        <f t="shared" si="1"/>
        <v>23.3</v>
      </c>
    </row>
    <row r="23" spans="1:8" ht="48" customHeight="1">
      <c r="A23" s="187" t="s">
        <v>36</v>
      </c>
      <c r="B23" s="187"/>
      <c r="C23" s="23"/>
      <c r="D23" s="24">
        <f t="shared" si="0"/>
        <v>14</v>
      </c>
      <c r="E23" s="23"/>
      <c r="F23" s="40">
        <v>13.2</v>
      </c>
      <c r="G23" s="38">
        <v>0.06</v>
      </c>
      <c r="H23" s="29">
        <f t="shared" si="1"/>
        <v>14</v>
      </c>
    </row>
    <row r="24" spans="1:8" ht="17.25" customHeight="1">
      <c r="A24" s="186" t="s">
        <v>37</v>
      </c>
      <c r="B24" s="186"/>
      <c r="D24" s="9" t="s">
        <v>41</v>
      </c>
      <c r="E24" s="8"/>
      <c r="F24" s="32"/>
      <c r="G24" s="32"/>
    </row>
    <row r="25" spans="1:8" ht="17.25" customHeight="1">
      <c r="A25" s="186" t="s">
        <v>39</v>
      </c>
      <c r="B25" s="186"/>
      <c r="D25" s="10" t="s">
        <v>38</v>
      </c>
      <c r="E25" s="8"/>
      <c r="F25" s="32"/>
      <c r="G25" s="32"/>
    </row>
    <row r="26" spans="1:8" ht="15.5">
      <c r="A26" s="186" t="s">
        <v>40</v>
      </c>
      <c r="B26" s="186"/>
      <c r="D26" s="10" t="s">
        <v>38</v>
      </c>
      <c r="E26" s="8"/>
      <c r="F26" s="33"/>
      <c r="G26" s="33"/>
    </row>
    <row r="27" spans="1:8" ht="17.25" customHeight="1">
      <c r="A27" s="36"/>
      <c r="B27" s="36"/>
      <c r="C27" s="36"/>
      <c r="D27" s="36"/>
      <c r="E27" s="36"/>
      <c r="F27" s="36"/>
      <c r="G27" s="36"/>
    </row>
  </sheetData>
  <mergeCells count="17">
    <mergeCell ref="A26:B26"/>
    <mergeCell ref="A23:B23"/>
    <mergeCell ref="A24:B24"/>
    <mergeCell ref="A21:B21"/>
    <mergeCell ref="A22:B22"/>
    <mergeCell ref="A1:E1"/>
    <mergeCell ref="A2:D2"/>
    <mergeCell ref="A3:D3"/>
    <mergeCell ref="A4:D4"/>
    <mergeCell ref="A25:B25"/>
    <mergeCell ref="A19:B19"/>
    <mergeCell ref="A20:B20"/>
    <mergeCell ref="A16:B16"/>
    <mergeCell ref="A17:B17"/>
    <mergeCell ref="A18:B18"/>
    <mergeCell ref="A7:B7"/>
    <mergeCell ref="A8:B8"/>
  </mergeCells>
  <pageMargins left="0.70866141732283505" right="0.70866141732283505" top="0.74803149606299202" bottom="0.74803149606299202" header="0.31496062992126" footer="0.31496062992126"/>
  <pageSetup scale="84" orientation="portrait" r:id="rId1"/>
  <headerFooter>
    <oddFooter>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63D3-88DA-45AB-942A-2261635F2590}">
  <sheetPr>
    <tabColor theme="9" tint="0.59999389629810485"/>
    <pageSetUpPr fitToPage="1"/>
  </sheetPr>
  <dimension ref="A1:H32"/>
  <sheetViews>
    <sheetView view="pageBreakPreview" zoomScale="80" zoomScaleNormal="100" zoomScaleSheetLayoutView="80" workbookViewId="0">
      <selection activeCell="B18" sqref="B18"/>
    </sheetView>
  </sheetViews>
  <sheetFormatPr defaultColWidth="15" defaultRowHeight="15.5"/>
  <cols>
    <col min="1" max="1" width="15" style="59"/>
    <col min="2" max="2" width="19.5" style="59" customWidth="1"/>
    <col min="3" max="7" width="17.796875" style="59" customWidth="1"/>
    <col min="8" max="16384" width="15" style="59"/>
  </cols>
  <sheetData>
    <row r="1" spans="1:6" s="41" customFormat="1" ht="85.15" customHeight="1">
      <c r="A1" s="188"/>
      <c r="B1" s="188"/>
      <c r="C1" s="188"/>
      <c r="D1" s="188"/>
      <c r="E1" s="188"/>
      <c r="F1" s="188"/>
    </row>
    <row r="2" spans="1:6" s="41" customFormat="1" ht="101.25" customHeight="1">
      <c r="A2" s="189"/>
    </row>
    <row r="3" spans="1:6" s="41" customFormat="1" ht="16.5" customHeight="1">
      <c r="A3" s="189"/>
    </row>
    <row r="4" spans="1:6" s="41" customFormat="1" ht="12.5">
      <c r="A4" s="189"/>
    </row>
    <row r="5" spans="1:6" s="41" customFormat="1" ht="12.5">
      <c r="A5" s="189"/>
    </row>
    <row r="6" spans="1:6" s="41" customFormat="1" ht="10.5" customHeight="1">
      <c r="A6" s="189"/>
    </row>
    <row r="7" spans="1:6" s="41" customFormat="1" ht="13" thickBot="1">
      <c r="A7" s="189"/>
    </row>
    <row r="8" spans="1:6" s="41" customFormat="1" ht="15" thickTop="1" thickBot="1">
      <c r="A8" s="189"/>
      <c r="B8" s="42" t="s">
        <v>58</v>
      </c>
      <c r="C8" s="42" t="s">
        <v>59</v>
      </c>
      <c r="D8" s="43"/>
      <c r="E8" s="43"/>
      <c r="F8" s="44"/>
    </row>
    <row r="9" spans="1:6" s="41" customFormat="1" ht="3.75" customHeight="1" thickTop="1" thickBot="1">
      <c r="A9" s="189"/>
      <c r="B9" s="45"/>
      <c r="C9" s="46"/>
      <c r="D9" s="47"/>
      <c r="E9" s="47"/>
      <c r="F9" s="47"/>
    </row>
    <row r="10" spans="1:6" s="41" customFormat="1" ht="25.5" customHeight="1" thickTop="1">
      <c r="A10" s="48" t="s">
        <v>60</v>
      </c>
      <c r="B10" s="49" t="s">
        <v>61</v>
      </c>
      <c r="C10" s="50" t="s">
        <v>62</v>
      </c>
      <c r="D10" s="51"/>
      <c r="E10" s="51"/>
      <c r="F10" s="51"/>
    </row>
    <row r="11" spans="1:6" s="41" customFormat="1" ht="23.25" customHeight="1">
      <c r="A11" s="48" t="s">
        <v>63</v>
      </c>
      <c r="B11" s="49" t="s">
        <v>61</v>
      </c>
      <c r="C11" s="50" t="s">
        <v>62</v>
      </c>
      <c r="D11" s="51"/>
      <c r="E11" s="51"/>
      <c r="F11" s="51"/>
    </row>
    <row r="12" spans="1:6" s="41" customFormat="1" ht="23.25" customHeight="1">
      <c r="B12" s="52"/>
      <c r="C12" s="52"/>
      <c r="D12" s="52"/>
      <c r="E12" s="52"/>
    </row>
    <row r="13" spans="1:6" s="41" customFormat="1" ht="105.75" customHeight="1">
      <c r="A13" s="190" t="s">
        <v>64</v>
      </c>
    </row>
    <row r="14" spans="1:6" s="41" customFormat="1" ht="16.5" customHeight="1">
      <c r="A14" s="190"/>
    </row>
    <row r="15" spans="1:6" s="41" customFormat="1" ht="15.75" customHeight="1">
      <c r="A15" s="190"/>
    </row>
    <row r="16" spans="1:6" s="41" customFormat="1" ht="12.5">
      <c r="A16" s="190"/>
    </row>
    <row r="17" spans="1:8" s="41" customFormat="1" ht="13" thickBot="1">
      <c r="A17" s="190"/>
    </row>
    <row r="18" spans="1:8" s="41" customFormat="1" ht="14.5" thickTop="1">
      <c r="B18" s="53" t="s">
        <v>65</v>
      </c>
      <c r="C18" s="54" t="s">
        <v>66</v>
      </c>
      <c r="D18" s="53" t="s">
        <v>67</v>
      </c>
    </row>
    <row r="19" spans="1:8" s="41" customFormat="1" ht="3.75" customHeight="1" thickBot="1">
      <c r="B19" s="45"/>
      <c r="C19" s="45"/>
      <c r="D19" s="45"/>
    </row>
    <row r="20" spans="1:8" s="41" customFormat="1" ht="22.5" customHeight="1" thickTop="1">
      <c r="A20" s="48" t="s">
        <v>60</v>
      </c>
      <c r="B20" s="55" t="s">
        <v>61</v>
      </c>
      <c r="C20" s="56" t="s">
        <v>61</v>
      </c>
      <c r="D20" s="56" t="s">
        <v>61</v>
      </c>
    </row>
    <row r="21" spans="1:8" s="41" customFormat="1" ht="20.25" customHeight="1">
      <c r="A21" s="48" t="s">
        <v>63</v>
      </c>
      <c r="B21" s="56" t="s">
        <v>61</v>
      </c>
      <c r="C21" s="56" t="s">
        <v>61</v>
      </c>
      <c r="D21" s="56" t="s">
        <v>61</v>
      </c>
    </row>
    <row r="22" spans="1:8" s="41" customFormat="1" ht="25.5" customHeight="1">
      <c r="C22" s="57"/>
    </row>
    <row r="23" spans="1:8" s="41" customFormat="1" ht="105.75" customHeight="1">
      <c r="A23" s="190" t="s">
        <v>64</v>
      </c>
    </row>
    <row r="24" spans="1:8" s="41" customFormat="1" ht="16.5" customHeight="1">
      <c r="A24" s="190"/>
    </row>
    <row r="25" spans="1:8" s="41" customFormat="1" ht="15.75" customHeight="1">
      <c r="A25" s="190"/>
    </row>
    <row r="26" spans="1:8" s="41" customFormat="1" ht="12.5">
      <c r="A26" s="190"/>
    </row>
    <row r="27" spans="1:8" s="41" customFormat="1" ht="25.15" customHeight="1" thickBot="1">
      <c r="A27" s="190"/>
    </row>
    <row r="28" spans="1:8" s="41" customFormat="1" ht="14.5" thickTop="1">
      <c r="B28" s="53" t="s">
        <v>68</v>
      </c>
      <c r="C28" s="53" t="s">
        <v>69</v>
      </c>
      <c r="D28" s="53" t="s">
        <v>70</v>
      </c>
      <c r="E28" s="53" t="s">
        <v>71</v>
      </c>
      <c r="F28" s="53" t="s">
        <v>72</v>
      </c>
      <c r="G28" s="43"/>
      <c r="H28" s="43"/>
    </row>
    <row r="29" spans="1:8" s="41" customFormat="1" ht="3.75" customHeight="1" thickBot="1">
      <c r="B29" s="45"/>
      <c r="C29" s="45"/>
      <c r="D29" s="45"/>
      <c r="E29" s="45"/>
      <c r="F29" s="45"/>
      <c r="G29" s="47"/>
      <c r="H29" s="47"/>
    </row>
    <row r="30" spans="1:8" s="41" customFormat="1" ht="21" customHeight="1" thickTop="1">
      <c r="A30" s="48" t="s">
        <v>60</v>
      </c>
      <c r="B30" s="56" t="s">
        <v>73</v>
      </c>
      <c r="C30" s="56" t="s">
        <v>61</v>
      </c>
      <c r="D30" s="56" t="s">
        <v>61</v>
      </c>
      <c r="E30" s="56" t="s">
        <v>61</v>
      </c>
      <c r="F30" s="56" t="s">
        <v>61</v>
      </c>
      <c r="G30" s="58"/>
      <c r="H30" s="58"/>
    </row>
    <row r="31" spans="1:8" s="41" customFormat="1" ht="19.149999999999999" customHeight="1">
      <c r="A31" s="48" t="s">
        <v>63</v>
      </c>
      <c r="B31" s="50" t="s">
        <v>73</v>
      </c>
      <c r="C31" s="56" t="s">
        <v>61</v>
      </c>
      <c r="D31" s="50" t="s">
        <v>73</v>
      </c>
      <c r="E31" s="56" t="s">
        <v>61</v>
      </c>
      <c r="F31" s="50" t="s">
        <v>73</v>
      </c>
      <c r="G31" s="51"/>
      <c r="H31" s="51"/>
    </row>
    <row r="32" spans="1:8" s="41" customFormat="1" ht="30.75" customHeight="1"/>
  </sheetData>
  <mergeCells count="4">
    <mergeCell ref="A1:F1"/>
    <mergeCell ref="A2:A9"/>
    <mergeCell ref="A13:A17"/>
    <mergeCell ref="A23:A27"/>
  </mergeCells>
  <printOptions horizontalCentered="1"/>
  <pageMargins left="0.23622047244094499" right="0.23622047244094499" top="0.55118110236220497" bottom="0" header="0.31496062992126" footer="0.118110236220472"/>
  <pageSetup scale="91" orientation="portrait" r:id="rId1"/>
  <headerFooter>
    <oddFooter>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03F7-60EC-4D18-A221-E01CB9179335}">
  <sheetPr>
    <tabColor theme="9" tint="0.59999389629810485"/>
    <pageSetUpPr fitToPage="1"/>
  </sheetPr>
  <dimension ref="A2:O59"/>
  <sheetViews>
    <sheetView view="pageBreakPreview" zoomScale="80" zoomScaleNormal="100" zoomScaleSheetLayoutView="80" workbookViewId="0">
      <selection activeCell="B18" sqref="B18"/>
    </sheetView>
  </sheetViews>
  <sheetFormatPr defaultColWidth="11.296875" defaultRowHeight="13"/>
  <cols>
    <col min="1" max="1" width="30.19921875" style="62" customWidth="1"/>
    <col min="2" max="2" width="7.796875" style="61" customWidth="1"/>
    <col min="3" max="15" width="7.19921875" style="62" customWidth="1"/>
    <col min="16" max="16384" width="11.296875" style="62"/>
  </cols>
  <sheetData>
    <row r="2" spans="1:15" ht="102" customHeight="1">
      <c r="A2" s="60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</row>
    <row r="3" spans="1:15" ht="33" customHeight="1">
      <c r="A3" s="193" t="s">
        <v>74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</row>
    <row r="4" spans="1:15" ht="32.5" customHeight="1" thickBot="1">
      <c r="A4" s="63" t="s">
        <v>75</v>
      </c>
      <c r="B4" s="64"/>
      <c r="C4" s="64" t="s">
        <v>76</v>
      </c>
      <c r="D4" s="64" t="s">
        <v>77</v>
      </c>
      <c r="E4" s="64" t="s">
        <v>78</v>
      </c>
      <c r="F4" s="64" t="s">
        <v>79</v>
      </c>
      <c r="G4" s="64" t="s">
        <v>80</v>
      </c>
      <c r="H4" s="64" t="s">
        <v>81</v>
      </c>
      <c r="I4" s="64" t="s">
        <v>82</v>
      </c>
      <c r="J4" s="64" t="s">
        <v>83</v>
      </c>
      <c r="K4" s="64" t="s">
        <v>84</v>
      </c>
      <c r="L4" s="64" t="s">
        <v>85</v>
      </c>
      <c r="M4" s="64" t="s">
        <v>86</v>
      </c>
      <c r="N4" s="64" t="s">
        <v>87</v>
      </c>
      <c r="O4" s="64" t="s">
        <v>88</v>
      </c>
    </row>
    <row r="5" spans="1:15" ht="20.5" customHeight="1" thickBot="1">
      <c r="A5" s="191" t="s">
        <v>72</v>
      </c>
      <c r="B5" s="65" t="s">
        <v>89</v>
      </c>
      <c r="C5" s="66" t="s">
        <v>90</v>
      </c>
      <c r="D5" s="67" t="s">
        <v>90</v>
      </c>
      <c r="E5" s="68" t="s">
        <v>90</v>
      </c>
      <c r="F5" s="67" t="s">
        <v>90</v>
      </c>
      <c r="G5" s="68" t="s">
        <v>90</v>
      </c>
      <c r="H5" s="67" t="s">
        <v>90</v>
      </c>
      <c r="I5" s="68" t="s">
        <v>90</v>
      </c>
      <c r="J5" s="67" t="s">
        <v>90</v>
      </c>
      <c r="K5" s="68" t="s">
        <v>90</v>
      </c>
      <c r="L5" s="67" t="s">
        <v>90</v>
      </c>
      <c r="M5" s="68" t="s">
        <v>90</v>
      </c>
      <c r="N5" s="67" t="s">
        <v>90</v>
      </c>
      <c r="O5" s="69" t="s">
        <v>90</v>
      </c>
    </row>
    <row r="6" spans="1:15" ht="20.5" customHeight="1" thickBot="1">
      <c r="A6" s="191"/>
      <c r="B6" s="65" t="s">
        <v>91</v>
      </c>
      <c r="C6" s="70"/>
      <c r="D6" s="71"/>
      <c r="E6" s="72" t="s">
        <v>90</v>
      </c>
      <c r="F6" s="73" t="s">
        <v>90</v>
      </c>
      <c r="G6" s="72" t="s">
        <v>90</v>
      </c>
      <c r="H6" s="73" t="s">
        <v>90</v>
      </c>
      <c r="I6" s="72" t="s">
        <v>90</v>
      </c>
      <c r="J6" s="73" t="s">
        <v>90</v>
      </c>
      <c r="K6" s="72" t="s">
        <v>90</v>
      </c>
      <c r="L6" s="73" t="s">
        <v>90</v>
      </c>
      <c r="M6" s="72" t="s">
        <v>90</v>
      </c>
      <c r="N6" s="73" t="s">
        <v>90</v>
      </c>
      <c r="O6" s="74" t="s">
        <v>90</v>
      </c>
    </row>
    <row r="7" spans="1:15" ht="20.5" customHeight="1" thickBot="1">
      <c r="A7" s="191"/>
      <c r="B7" s="65" t="s">
        <v>92</v>
      </c>
      <c r="C7" s="75"/>
      <c r="D7" s="76"/>
      <c r="E7" s="77" t="s">
        <v>90</v>
      </c>
      <c r="F7" s="78" t="s">
        <v>90</v>
      </c>
      <c r="G7" s="77" t="s">
        <v>90</v>
      </c>
      <c r="H7" s="78" t="s">
        <v>90</v>
      </c>
      <c r="I7" s="77" t="s">
        <v>90</v>
      </c>
      <c r="J7" s="78" t="s">
        <v>90</v>
      </c>
      <c r="K7" s="77" t="s">
        <v>90</v>
      </c>
      <c r="L7" s="78" t="s">
        <v>90</v>
      </c>
      <c r="M7" s="77" t="s">
        <v>90</v>
      </c>
      <c r="N7" s="78" t="s">
        <v>90</v>
      </c>
      <c r="O7" s="79" t="s">
        <v>90</v>
      </c>
    </row>
    <row r="8" spans="1:15" ht="20.5" customHeight="1" thickBot="1">
      <c r="A8" s="191" t="s">
        <v>59</v>
      </c>
      <c r="B8" s="65" t="s">
        <v>89</v>
      </c>
      <c r="C8" s="66" t="s">
        <v>90</v>
      </c>
      <c r="D8" s="67" t="s">
        <v>90</v>
      </c>
      <c r="E8" s="68" t="s">
        <v>90</v>
      </c>
      <c r="F8" s="67" t="s">
        <v>90</v>
      </c>
      <c r="G8" s="68" t="s">
        <v>90</v>
      </c>
      <c r="H8" s="67" t="s">
        <v>90</v>
      </c>
      <c r="I8" s="68" t="s">
        <v>90</v>
      </c>
      <c r="J8" s="67" t="s">
        <v>90</v>
      </c>
      <c r="K8" s="68" t="s">
        <v>90</v>
      </c>
      <c r="L8" s="67" t="s">
        <v>90</v>
      </c>
      <c r="M8" s="68" t="s">
        <v>90</v>
      </c>
      <c r="N8" s="67" t="s">
        <v>90</v>
      </c>
      <c r="O8" s="69" t="s">
        <v>90</v>
      </c>
    </row>
    <row r="9" spans="1:15" ht="20.5" customHeight="1" thickBot="1">
      <c r="A9" s="191"/>
      <c r="B9" s="65" t="s">
        <v>91</v>
      </c>
      <c r="C9" s="70"/>
      <c r="D9" s="71"/>
      <c r="E9" s="80"/>
      <c r="F9" s="71"/>
      <c r="G9" s="80"/>
      <c r="H9" s="71"/>
      <c r="I9" s="80"/>
      <c r="J9" s="71"/>
      <c r="K9" s="80"/>
      <c r="L9" s="71"/>
      <c r="M9" s="80"/>
      <c r="N9" s="71"/>
      <c r="O9" s="81"/>
    </row>
    <row r="10" spans="1:15" ht="20.5" customHeight="1" thickBot="1">
      <c r="A10" s="191"/>
      <c r="B10" s="65" t="s">
        <v>92</v>
      </c>
      <c r="C10" s="75"/>
      <c r="D10" s="76"/>
      <c r="E10" s="82"/>
      <c r="F10" s="76"/>
      <c r="G10" s="82"/>
      <c r="H10" s="76"/>
      <c r="I10" s="82"/>
      <c r="J10" s="76"/>
      <c r="K10" s="82"/>
      <c r="L10" s="76"/>
      <c r="M10" s="82"/>
      <c r="N10" s="76"/>
      <c r="O10" s="83"/>
    </row>
    <row r="11" spans="1:15" ht="20.5" customHeight="1" thickBot="1">
      <c r="A11" s="191" t="s">
        <v>65</v>
      </c>
      <c r="B11" s="65" t="s">
        <v>89</v>
      </c>
      <c r="C11" s="84" t="s">
        <v>90</v>
      </c>
      <c r="D11" s="85" t="s">
        <v>90</v>
      </c>
      <c r="E11" s="86" t="s">
        <v>90</v>
      </c>
      <c r="F11" s="85" t="s">
        <v>90</v>
      </c>
      <c r="G11" s="86" t="s">
        <v>90</v>
      </c>
      <c r="H11" s="85" t="s">
        <v>90</v>
      </c>
      <c r="I11" s="86" t="s">
        <v>90</v>
      </c>
      <c r="J11" s="85" t="s">
        <v>90</v>
      </c>
      <c r="K11" s="86" t="s">
        <v>90</v>
      </c>
      <c r="L11" s="85" t="s">
        <v>90</v>
      </c>
      <c r="M11" s="86" t="s">
        <v>90</v>
      </c>
      <c r="N11" s="85" t="s">
        <v>90</v>
      </c>
      <c r="O11" s="87" t="s">
        <v>90</v>
      </c>
    </row>
    <row r="12" spans="1:15" ht="20.5" customHeight="1" thickBot="1">
      <c r="A12" s="191"/>
      <c r="B12" s="65" t="s">
        <v>91</v>
      </c>
      <c r="C12" s="88" t="s">
        <v>90</v>
      </c>
      <c r="D12" s="73" t="s">
        <v>90</v>
      </c>
      <c r="E12" s="72" t="s">
        <v>90</v>
      </c>
      <c r="F12" s="73" t="s">
        <v>90</v>
      </c>
      <c r="G12" s="72" t="s">
        <v>90</v>
      </c>
      <c r="H12" s="73" t="s">
        <v>90</v>
      </c>
      <c r="I12" s="72" t="s">
        <v>90</v>
      </c>
      <c r="J12" s="73" t="s">
        <v>90</v>
      </c>
      <c r="K12" s="72" t="s">
        <v>90</v>
      </c>
      <c r="L12" s="73" t="s">
        <v>90</v>
      </c>
      <c r="M12" s="72" t="s">
        <v>90</v>
      </c>
      <c r="N12" s="73" t="s">
        <v>90</v>
      </c>
      <c r="O12" s="74" t="s">
        <v>90</v>
      </c>
    </row>
    <row r="13" spans="1:15" ht="20.5" customHeight="1" thickBot="1">
      <c r="A13" s="191"/>
      <c r="B13" s="65" t="s">
        <v>92</v>
      </c>
      <c r="C13" s="89"/>
      <c r="D13" s="90"/>
      <c r="E13" s="86" t="s">
        <v>90</v>
      </c>
      <c r="F13" s="85" t="s">
        <v>90</v>
      </c>
      <c r="G13" s="86" t="s">
        <v>90</v>
      </c>
      <c r="H13" s="85" t="s">
        <v>90</v>
      </c>
      <c r="I13" s="86" t="s">
        <v>90</v>
      </c>
      <c r="J13" s="85" t="s">
        <v>90</v>
      </c>
      <c r="K13" s="86" t="s">
        <v>90</v>
      </c>
      <c r="L13" s="85" t="s">
        <v>90</v>
      </c>
      <c r="M13" s="86" t="s">
        <v>90</v>
      </c>
      <c r="N13" s="85" t="s">
        <v>90</v>
      </c>
      <c r="O13" s="87" t="s">
        <v>90</v>
      </c>
    </row>
    <row r="14" spans="1:15" ht="20.5" customHeight="1" thickBot="1">
      <c r="A14" s="194" t="s">
        <v>93</v>
      </c>
      <c r="B14" s="65" t="s">
        <v>89</v>
      </c>
      <c r="C14" s="91" t="s">
        <v>90</v>
      </c>
      <c r="D14" s="92" t="s">
        <v>90</v>
      </c>
      <c r="E14" s="93" t="s">
        <v>90</v>
      </c>
      <c r="F14" s="92" t="s">
        <v>90</v>
      </c>
      <c r="G14" s="93" t="s">
        <v>90</v>
      </c>
      <c r="H14" s="92" t="s">
        <v>90</v>
      </c>
      <c r="I14" s="93" t="s">
        <v>90</v>
      </c>
      <c r="J14" s="92" t="s">
        <v>90</v>
      </c>
      <c r="K14" s="93" t="s">
        <v>90</v>
      </c>
      <c r="L14" s="92" t="s">
        <v>90</v>
      </c>
      <c r="M14" s="93" t="s">
        <v>90</v>
      </c>
      <c r="N14" s="92" t="s">
        <v>90</v>
      </c>
      <c r="O14" s="94" t="s">
        <v>90</v>
      </c>
    </row>
    <row r="15" spans="1:15" ht="20.5" customHeight="1" thickBot="1">
      <c r="A15" s="195"/>
      <c r="B15" s="65" t="s">
        <v>91</v>
      </c>
      <c r="C15" s="88" t="s">
        <v>90</v>
      </c>
      <c r="D15" s="73" t="s">
        <v>90</v>
      </c>
      <c r="E15" s="72" t="s">
        <v>90</v>
      </c>
      <c r="F15" s="73" t="s">
        <v>90</v>
      </c>
      <c r="G15" s="72" t="s">
        <v>90</v>
      </c>
      <c r="H15" s="73" t="s">
        <v>90</v>
      </c>
      <c r="I15" s="72" t="s">
        <v>90</v>
      </c>
      <c r="J15" s="73" t="s">
        <v>90</v>
      </c>
      <c r="K15" s="72" t="s">
        <v>90</v>
      </c>
      <c r="L15" s="73" t="s">
        <v>90</v>
      </c>
      <c r="M15" s="72" t="s">
        <v>90</v>
      </c>
      <c r="N15" s="73" t="s">
        <v>90</v>
      </c>
      <c r="O15" s="74" t="s">
        <v>90</v>
      </c>
    </row>
    <row r="16" spans="1:15" ht="20.5" customHeight="1" thickBot="1">
      <c r="A16" s="196"/>
      <c r="B16" s="65" t="s">
        <v>92</v>
      </c>
      <c r="C16" s="75"/>
      <c r="D16" s="76"/>
      <c r="E16" s="77" t="s">
        <v>90</v>
      </c>
      <c r="F16" s="95" t="s">
        <v>90</v>
      </c>
      <c r="G16" s="77" t="s">
        <v>90</v>
      </c>
      <c r="H16" s="78" t="s">
        <v>90</v>
      </c>
      <c r="I16" s="77" t="s">
        <v>90</v>
      </c>
      <c r="J16" s="78" t="s">
        <v>90</v>
      </c>
      <c r="K16" s="77" t="s">
        <v>90</v>
      </c>
      <c r="L16" s="78" t="s">
        <v>90</v>
      </c>
      <c r="M16" s="77" t="s">
        <v>90</v>
      </c>
      <c r="N16" s="78" t="s">
        <v>90</v>
      </c>
      <c r="O16" s="79" t="s">
        <v>90</v>
      </c>
    </row>
    <row r="17" spans="1:15" ht="20.5" customHeight="1" thickBot="1">
      <c r="A17" s="191" t="s">
        <v>70</v>
      </c>
      <c r="B17" s="65" t="s">
        <v>89</v>
      </c>
      <c r="C17" s="66" t="s">
        <v>90</v>
      </c>
      <c r="D17" s="67" t="s">
        <v>90</v>
      </c>
      <c r="E17" s="68" t="s">
        <v>90</v>
      </c>
      <c r="F17" s="67" t="s">
        <v>90</v>
      </c>
      <c r="G17" s="68" t="s">
        <v>90</v>
      </c>
      <c r="H17" s="67" t="s">
        <v>90</v>
      </c>
      <c r="I17" s="68" t="s">
        <v>90</v>
      </c>
      <c r="J17" s="67" t="s">
        <v>90</v>
      </c>
      <c r="K17" s="68" t="s">
        <v>90</v>
      </c>
      <c r="L17" s="67" t="s">
        <v>90</v>
      </c>
      <c r="M17" s="68" t="s">
        <v>90</v>
      </c>
      <c r="N17" s="67" t="s">
        <v>90</v>
      </c>
      <c r="O17" s="69" t="s">
        <v>90</v>
      </c>
    </row>
    <row r="18" spans="1:15" ht="20.5" customHeight="1" thickBot="1">
      <c r="A18" s="191"/>
      <c r="B18" s="65" t="s">
        <v>91</v>
      </c>
      <c r="C18" s="88" t="s">
        <v>90</v>
      </c>
      <c r="D18" s="73" t="s">
        <v>90</v>
      </c>
      <c r="E18" s="72" t="s">
        <v>90</v>
      </c>
      <c r="F18" s="73" t="s">
        <v>90</v>
      </c>
      <c r="G18" s="72" t="s">
        <v>90</v>
      </c>
      <c r="H18" s="73" t="s">
        <v>90</v>
      </c>
      <c r="I18" s="72" t="s">
        <v>90</v>
      </c>
      <c r="J18" s="73" t="s">
        <v>90</v>
      </c>
      <c r="K18" s="72" t="s">
        <v>90</v>
      </c>
      <c r="L18" s="73" t="s">
        <v>90</v>
      </c>
      <c r="M18" s="72" t="s">
        <v>90</v>
      </c>
      <c r="N18" s="73" t="s">
        <v>90</v>
      </c>
      <c r="O18" s="74" t="s">
        <v>90</v>
      </c>
    </row>
    <row r="19" spans="1:15" ht="20.5" customHeight="1" thickBot="1">
      <c r="A19" s="191"/>
      <c r="B19" s="65" t="s">
        <v>92</v>
      </c>
      <c r="C19" s="75"/>
      <c r="D19" s="76"/>
      <c r="E19" s="77" t="s">
        <v>90</v>
      </c>
      <c r="F19" s="78" t="s">
        <v>90</v>
      </c>
      <c r="G19" s="77" t="s">
        <v>90</v>
      </c>
      <c r="H19" s="78" t="s">
        <v>90</v>
      </c>
      <c r="I19" s="77" t="s">
        <v>90</v>
      </c>
      <c r="J19" s="78" t="s">
        <v>90</v>
      </c>
      <c r="K19" s="77" t="s">
        <v>90</v>
      </c>
      <c r="L19" s="78" t="s">
        <v>90</v>
      </c>
      <c r="M19" s="77" t="s">
        <v>90</v>
      </c>
      <c r="N19" s="78" t="s">
        <v>90</v>
      </c>
      <c r="O19" s="79" t="s">
        <v>90</v>
      </c>
    </row>
    <row r="20" spans="1:15" ht="20.5" customHeight="1" thickBot="1">
      <c r="A20" s="197" t="s">
        <v>68</v>
      </c>
      <c r="B20" s="65" t="s">
        <v>89</v>
      </c>
      <c r="C20" s="96" t="s">
        <v>90</v>
      </c>
      <c r="D20" s="97" t="s">
        <v>90</v>
      </c>
      <c r="E20" s="98" t="s">
        <v>90</v>
      </c>
      <c r="F20" s="97" t="s">
        <v>90</v>
      </c>
      <c r="G20" s="99" t="s">
        <v>90</v>
      </c>
      <c r="H20" s="97" t="s">
        <v>90</v>
      </c>
      <c r="I20" s="98" t="s">
        <v>90</v>
      </c>
      <c r="J20" s="100" t="s">
        <v>90</v>
      </c>
      <c r="K20" s="98" t="s">
        <v>90</v>
      </c>
      <c r="L20" s="100" t="s">
        <v>90</v>
      </c>
      <c r="M20" s="98" t="s">
        <v>90</v>
      </c>
      <c r="N20" s="100" t="s">
        <v>90</v>
      </c>
      <c r="O20" s="101" t="s">
        <v>90</v>
      </c>
    </row>
    <row r="21" spans="1:15" ht="20.5" customHeight="1" thickBot="1">
      <c r="A21" s="198"/>
      <c r="B21" s="65" t="s">
        <v>91</v>
      </c>
      <c r="C21" s="102" t="s">
        <v>90</v>
      </c>
      <c r="D21" s="103" t="s">
        <v>90</v>
      </c>
      <c r="E21" s="104" t="s">
        <v>90</v>
      </c>
      <c r="F21" s="103" t="s">
        <v>90</v>
      </c>
      <c r="G21" s="105" t="s">
        <v>90</v>
      </c>
      <c r="H21" s="103" t="s">
        <v>90</v>
      </c>
      <c r="I21" s="104" t="s">
        <v>90</v>
      </c>
      <c r="J21" s="106" t="s">
        <v>90</v>
      </c>
      <c r="K21" s="104" t="s">
        <v>90</v>
      </c>
      <c r="L21" s="106" t="s">
        <v>90</v>
      </c>
      <c r="M21" s="104" t="s">
        <v>90</v>
      </c>
      <c r="N21" s="106" t="s">
        <v>90</v>
      </c>
      <c r="O21" s="107" t="s">
        <v>90</v>
      </c>
    </row>
    <row r="22" spans="1:15" ht="20.5" customHeight="1" thickBot="1">
      <c r="A22" s="199"/>
      <c r="B22" s="65" t="s">
        <v>92</v>
      </c>
      <c r="C22" s="75"/>
      <c r="D22" s="76"/>
      <c r="E22" s="82"/>
      <c r="F22" s="76"/>
      <c r="G22" s="82"/>
      <c r="H22" s="76"/>
      <c r="I22" s="82"/>
      <c r="J22" s="76"/>
      <c r="K22" s="82"/>
      <c r="L22" s="76"/>
      <c r="M22" s="82"/>
      <c r="N22" s="76"/>
      <c r="O22" s="83"/>
    </row>
    <row r="23" spans="1:15" ht="20.5" customHeight="1" thickBot="1">
      <c r="A23" s="197" t="s">
        <v>69</v>
      </c>
      <c r="B23" s="65" t="s">
        <v>89</v>
      </c>
      <c r="C23" s="66" t="s">
        <v>90</v>
      </c>
      <c r="D23" s="67" t="s">
        <v>90</v>
      </c>
      <c r="E23" s="68" t="s">
        <v>90</v>
      </c>
      <c r="F23" s="67" t="s">
        <v>90</v>
      </c>
      <c r="G23" s="68" t="s">
        <v>90</v>
      </c>
      <c r="H23" s="67" t="s">
        <v>90</v>
      </c>
      <c r="I23" s="68" t="s">
        <v>90</v>
      </c>
      <c r="J23" s="67" t="s">
        <v>90</v>
      </c>
      <c r="K23" s="68" t="s">
        <v>90</v>
      </c>
      <c r="L23" s="67" t="s">
        <v>90</v>
      </c>
      <c r="M23" s="68" t="s">
        <v>90</v>
      </c>
      <c r="N23" s="67" t="s">
        <v>90</v>
      </c>
      <c r="O23" s="69" t="s">
        <v>90</v>
      </c>
    </row>
    <row r="24" spans="1:15" ht="20.5" customHeight="1" thickBot="1">
      <c r="A24" s="198"/>
      <c r="B24" s="65" t="s">
        <v>91</v>
      </c>
      <c r="C24" s="88" t="s">
        <v>90</v>
      </c>
      <c r="D24" s="73" t="s">
        <v>90</v>
      </c>
      <c r="E24" s="72" t="s">
        <v>90</v>
      </c>
      <c r="F24" s="73" t="s">
        <v>90</v>
      </c>
      <c r="G24" s="72" t="s">
        <v>90</v>
      </c>
      <c r="H24" s="73" t="s">
        <v>90</v>
      </c>
      <c r="I24" s="72" t="s">
        <v>90</v>
      </c>
      <c r="J24" s="73" t="s">
        <v>90</v>
      </c>
      <c r="K24" s="72" t="s">
        <v>90</v>
      </c>
      <c r="L24" s="73" t="s">
        <v>90</v>
      </c>
      <c r="M24" s="72" t="s">
        <v>90</v>
      </c>
      <c r="N24" s="73" t="s">
        <v>90</v>
      </c>
      <c r="O24" s="74" t="s">
        <v>90</v>
      </c>
    </row>
    <row r="25" spans="1:15" ht="20.5" customHeight="1" thickBot="1">
      <c r="A25" s="199"/>
      <c r="B25" s="65" t="s">
        <v>92</v>
      </c>
      <c r="C25" s="75"/>
      <c r="D25" s="76"/>
      <c r="E25" s="77" t="s">
        <v>90</v>
      </c>
      <c r="F25" s="78" t="s">
        <v>90</v>
      </c>
      <c r="G25" s="77" t="s">
        <v>90</v>
      </c>
      <c r="H25" s="78" t="s">
        <v>90</v>
      </c>
      <c r="I25" s="77" t="s">
        <v>90</v>
      </c>
      <c r="J25" s="78" t="s">
        <v>90</v>
      </c>
      <c r="K25" s="77" t="s">
        <v>90</v>
      </c>
      <c r="L25" s="78" t="s">
        <v>90</v>
      </c>
      <c r="M25" s="77" t="s">
        <v>90</v>
      </c>
      <c r="N25" s="78" t="s">
        <v>90</v>
      </c>
      <c r="O25" s="79" t="s">
        <v>90</v>
      </c>
    </row>
    <row r="26" spans="1:15" ht="20.5" customHeight="1" thickBot="1">
      <c r="A26" s="191" t="s">
        <v>71</v>
      </c>
      <c r="B26" s="65" t="s">
        <v>89</v>
      </c>
      <c r="C26" s="66" t="s">
        <v>90</v>
      </c>
      <c r="D26" s="67" t="s">
        <v>90</v>
      </c>
      <c r="E26" s="68" t="s">
        <v>90</v>
      </c>
      <c r="F26" s="67" t="s">
        <v>90</v>
      </c>
      <c r="G26" s="68" t="s">
        <v>90</v>
      </c>
      <c r="H26" s="67" t="s">
        <v>90</v>
      </c>
      <c r="I26" s="68" t="s">
        <v>90</v>
      </c>
      <c r="J26" s="67" t="s">
        <v>90</v>
      </c>
      <c r="K26" s="68" t="s">
        <v>90</v>
      </c>
      <c r="L26" s="67" t="s">
        <v>90</v>
      </c>
      <c r="M26" s="68" t="s">
        <v>90</v>
      </c>
      <c r="N26" s="67" t="s">
        <v>90</v>
      </c>
      <c r="O26" s="69" t="s">
        <v>90</v>
      </c>
    </row>
    <row r="27" spans="1:15" ht="20.5" customHeight="1" thickBot="1">
      <c r="A27" s="191"/>
      <c r="B27" s="65" t="s">
        <v>91</v>
      </c>
      <c r="C27" s="108" t="s">
        <v>90</v>
      </c>
      <c r="D27" s="109" t="s">
        <v>90</v>
      </c>
      <c r="E27" s="110" t="s">
        <v>90</v>
      </c>
      <c r="F27" s="109" t="s">
        <v>90</v>
      </c>
      <c r="G27" s="110" t="s">
        <v>90</v>
      </c>
      <c r="H27" s="109" t="s">
        <v>90</v>
      </c>
      <c r="I27" s="110" t="s">
        <v>90</v>
      </c>
      <c r="J27" s="109" t="s">
        <v>90</v>
      </c>
      <c r="K27" s="110" t="s">
        <v>90</v>
      </c>
      <c r="L27" s="109" t="s">
        <v>90</v>
      </c>
      <c r="M27" s="110" t="s">
        <v>90</v>
      </c>
      <c r="N27" s="109" t="s">
        <v>90</v>
      </c>
      <c r="O27" s="111" t="s">
        <v>90</v>
      </c>
    </row>
    <row r="28" spans="1:15" ht="20.5" customHeight="1" thickBot="1">
      <c r="A28" s="191"/>
      <c r="B28" s="65" t="s">
        <v>92</v>
      </c>
      <c r="C28" s="75"/>
      <c r="D28" s="76"/>
      <c r="E28" s="77" t="s">
        <v>90</v>
      </c>
      <c r="F28" s="78" t="s">
        <v>90</v>
      </c>
      <c r="G28" s="77" t="s">
        <v>90</v>
      </c>
      <c r="H28" s="78" t="s">
        <v>90</v>
      </c>
      <c r="I28" s="77" t="s">
        <v>90</v>
      </c>
      <c r="J28" s="78" t="s">
        <v>90</v>
      </c>
      <c r="K28" s="77" t="s">
        <v>90</v>
      </c>
      <c r="L28" s="78" t="s">
        <v>90</v>
      </c>
      <c r="M28" s="77" t="s">
        <v>90</v>
      </c>
      <c r="N28" s="78" t="s">
        <v>90</v>
      </c>
      <c r="O28" s="79" t="s">
        <v>90</v>
      </c>
    </row>
    <row r="29" spans="1:15" ht="20.5" customHeight="1" thickBot="1">
      <c r="A29" s="191" t="s">
        <v>67</v>
      </c>
      <c r="B29" s="65" t="s">
        <v>89</v>
      </c>
      <c r="C29" s="66" t="s">
        <v>90</v>
      </c>
      <c r="D29" s="67" t="s">
        <v>90</v>
      </c>
      <c r="E29" s="68" t="s">
        <v>90</v>
      </c>
      <c r="F29" s="67" t="s">
        <v>90</v>
      </c>
      <c r="G29" s="68" t="s">
        <v>90</v>
      </c>
      <c r="H29" s="67" t="s">
        <v>90</v>
      </c>
      <c r="I29" s="68" t="s">
        <v>90</v>
      </c>
      <c r="J29" s="67" t="s">
        <v>90</v>
      </c>
      <c r="K29" s="68" t="s">
        <v>90</v>
      </c>
      <c r="L29" s="67" t="s">
        <v>90</v>
      </c>
      <c r="M29" s="68" t="s">
        <v>90</v>
      </c>
      <c r="N29" s="67" t="s">
        <v>90</v>
      </c>
      <c r="O29" s="69" t="s">
        <v>90</v>
      </c>
    </row>
    <row r="30" spans="1:15" ht="20.5" customHeight="1" thickBot="1">
      <c r="A30" s="191"/>
      <c r="B30" s="65" t="s">
        <v>91</v>
      </c>
      <c r="C30" s="70"/>
      <c r="D30" s="71"/>
      <c r="E30" s="72" t="s">
        <v>90</v>
      </c>
      <c r="F30" s="73" t="s">
        <v>90</v>
      </c>
      <c r="G30" s="72" t="s">
        <v>90</v>
      </c>
      <c r="H30" s="73" t="s">
        <v>90</v>
      </c>
      <c r="I30" s="72" t="s">
        <v>90</v>
      </c>
      <c r="J30" s="73" t="s">
        <v>90</v>
      </c>
      <c r="K30" s="72" t="s">
        <v>90</v>
      </c>
      <c r="L30" s="73" t="s">
        <v>90</v>
      </c>
      <c r="M30" s="72" t="s">
        <v>90</v>
      </c>
      <c r="N30" s="73" t="s">
        <v>90</v>
      </c>
      <c r="O30" s="74" t="s">
        <v>90</v>
      </c>
    </row>
    <row r="31" spans="1:15" ht="20.5" customHeight="1" thickBot="1">
      <c r="A31" s="191"/>
      <c r="B31" s="65" t="s">
        <v>92</v>
      </c>
      <c r="C31" s="75"/>
      <c r="D31" s="76"/>
      <c r="E31" s="77" t="s">
        <v>90</v>
      </c>
      <c r="F31" s="78" t="s">
        <v>90</v>
      </c>
      <c r="G31" s="77" t="s">
        <v>90</v>
      </c>
      <c r="H31" s="78" t="s">
        <v>90</v>
      </c>
      <c r="I31" s="77" t="s">
        <v>90</v>
      </c>
      <c r="J31" s="78" t="s">
        <v>90</v>
      </c>
      <c r="K31" s="77" t="s">
        <v>90</v>
      </c>
      <c r="L31" s="78" t="s">
        <v>90</v>
      </c>
      <c r="M31" s="77" t="s">
        <v>90</v>
      </c>
      <c r="N31" s="78" t="s">
        <v>90</v>
      </c>
      <c r="O31" s="79" t="s">
        <v>90</v>
      </c>
    </row>
    <row r="32" spans="1:15" ht="20.5" customHeight="1" thickBot="1">
      <c r="A32" s="191" t="s">
        <v>94</v>
      </c>
      <c r="B32" s="65" t="s">
        <v>89</v>
      </c>
      <c r="C32" s="66" t="s">
        <v>90</v>
      </c>
      <c r="D32" s="67" t="s">
        <v>90</v>
      </c>
      <c r="E32" s="68" t="s">
        <v>90</v>
      </c>
      <c r="F32" s="67" t="s">
        <v>90</v>
      </c>
      <c r="G32" s="68" t="s">
        <v>90</v>
      </c>
      <c r="H32" s="67" t="s">
        <v>90</v>
      </c>
      <c r="I32" s="68" t="s">
        <v>90</v>
      </c>
      <c r="J32" s="67" t="s">
        <v>90</v>
      </c>
      <c r="K32" s="68" t="s">
        <v>90</v>
      </c>
      <c r="L32" s="67" t="s">
        <v>90</v>
      </c>
      <c r="M32" s="68" t="s">
        <v>90</v>
      </c>
      <c r="N32" s="67" t="s">
        <v>90</v>
      </c>
      <c r="O32" s="69" t="s">
        <v>90</v>
      </c>
    </row>
    <row r="33" spans="1:15" ht="20.5" customHeight="1" thickBot="1">
      <c r="A33" s="191"/>
      <c r="B33" s="65" t="s">
        <v>91</v>
      </c>
      <c r="C33" s="70"/>
      <c r="D33" s="71"/>
      <c r="E33" s="80"/>
      <c r="F33" s="73" t="s">
        <v>90</v>
      </c>
      <c r="G33" s="72" t="s">
        <v>90</v>
      </c>
      <c r="H33" s="73" t="s">
        <v>90</v>
      </c>
      <c r="I33" s="72" t="s">
        <v>90</v>
      </c>
      <c r="J33" s="73" t="s">
        <v>90</v>
      </c>
      <c r="K33" s="72" t="s">
        <v>90</v>
      </c>
      <c r="L33" s="73" t="s">
        <v>90</v>
      </c>
      <c r="M33" s="72" t="s">
        <v>90</v>
      </c>
      <c r="N33" s="73" t="s">
        <v>90</v>
      </c>
      <c r="O33" s="74" t="s">
        <v>90</v>
      </c>
    </row>
    <row r="34" spans="1:15" ht="20.5" customHeight="1" thickBot="1">
      <c r="A34" s="191"/>
      <c r="B34" s="65" t="s">
        <v>92</v>
      </c>
      <c r="C34" s="75"/>
      <c r="D34" s="76"/>
      <c r="E34" s="77" t="s">
        <v>90</v>
      </c>
      <c r="F34" s="78" t="s">
        <v>90</v>
      </c>
      <c r="G34" s="77" t="s">
        <v>90</v>
      </c>
      <c r="H34" s="78" t="s">
        <v>90</v>
      </c>
      <c r="I34" s="77" t="s">
        <v>90</v>
      </c>
      <c r="J34" s="78" t="s">
        <v>90</v>
      </c>
      <c r="K34" s="77" t="s">
        <v>90</v>
      </c>
      <c r="L34" s="78" t="s">
        <v>90</v>
      </c>
      <c r="M34" s="77" t="s">
        <v>90</v>
      </c>
      <c r="N34" s="78" t="s">
        <v>90</v>
      </c>
      <c r="O34" s="79" t="s">
        <v>90</v>
      </c>
    </row>
    <row r="35" spans="1:15" ht="15.75" customHeight="1">
      <c r="A35" s="112"/>
      <c r="B35" s="113"/>
      <c r="C35" s="200" t="s">
        <v>95</v>
      </c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2"/>
    </row>
    <row r="36" spans="1:15" ht="15.75" customHeight="1" thickBot="1">
      <c r="A36" s="114"/>
      <c r="B36" s="115" t="s">
        <v>96</v>
      </c>
      <c r="C36" s="203" t="s">
        <v>97</v>
      </c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5"/>
    </row>
    <row r="37" spans="1:15" ht="15.75" customHeight="1">
      <c r="C37" s="116"/>
      <c r="D37" s="117"/>
      <c r="E37" s="118"/>
      <c r="M37" s="119"/>
      <c r="N37" s="117"/>
      <c r="O37" s="117"/>
    </row>
    <row r="38" spans="1:15" ht="15.75" customHeight="1">
      <c r="C38" s="116"/>
      <c r="D38" s="117"/>
      <c r="E38" s="118"/>
    </row>
    <row r="39" spans="1:15" ht="15.75" customHeight="1">
      <c r="C39" s="116"/>
      <c r="D39" s="117"/>
      <c r="E39" s="118"/>
      <c r="M39" s="120"/>
    </row>
    <row r="40" spans="1:15" ht="15.75" customHeight="1">
      <c r="C40" s="116"/>
      <c r="D40" s="117"/>
      <c r="E40" s="118"/>
    </row>
    <row r="41" spans="1:15" ht="18" hidden="1" customHeight="1">
      <c r="C41" s="118" t="s">
        <v>98</v>
      </c>
    </row>
    <row r="42" spans="1:15" ht="18" hidden="1" customHeight="1">
      <c r="C42" s="118"/>
    </row>
    <row r="43" spans="1:15" ht="18" hidden="1" customHeight="1">
      <c r="A43" s="121">
        <v>43174</v>
      </c>
      <c r="C43" s="122" t="s">
        <v>99</v>
      </c>
    </row>
    <row r="44" spans="1:15" ht="18" hidden="1" customHeight="1">
      <c r="A44" s="121">
        <v>43047</v>
      </c>
      <c r="C44" s="122" t="s">
        <v>100</v>
      </c>
    </row>
    <row r="45" spans="1:15" ht="18" hidden="1" customHeight="1">
      <c r="A45" s="121">
        <v>42480</v>
      </c>
      <c r="C45" s="122" t="s">
        <v>101</v>
      </c>
    </row>
    <row r="46" spans="1:15" ht="18" hidden="1" customHeight="1">
      <c r="A46" s="121">
        <v>42480</v>
      </c>
      <c r="C46" s="122" t="s">
        <v>102</v>
      </c>
    </row>
    <row r="47" spans="1:15" ht="18" hidden="1" customHeight="1">
      <c r="A47" s="121">
        <v>42376</v>
      </c>
      <c r="C47" s="122" t="s">
        <v>103</v>
      </c>
    </row>
    <row r="48" spans="1:15" ht="25.5" hidden="1" customHeight="1">
      <c r="A48" s="206">
        <v>41593</v>
      </c>
      <c r="B48" s="207"/>
      <c r="C48" s="208" t="s">
        <v>104</v>
      </c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</row>
    <row r="49" spans="1:15" ht="18" hidden="1" customHeight="1">
      <c r="A49" s="206">
        <v>41240</v>
      </c>
      <c r="B49" s="207"/>
      <c r="C49" s="208" t="s">
        <v>105</v>
      </c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</row>
    <row r="50" spans="1:15" ht="28.5" hidden="1" customHeight="1">
      <c r="A50" s="206">
        <v>41240</v>
      </c>
      <c r="B50" s="207"/>
      <c r="C50" s="208" t="s">
        <v>106</v>
      </c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</row>
    <row r="51" spans="1:15" ht="18" hidden="1" customHeight="1">
      <c r="A51" s="206">
        <v>41240</v>
      </c>
      <c r="B51" s="207"/>
      <c r="C51" s="208" t="s">
        <v>107</v>
      </c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</row>
    <row r="52" spans="1:15" ht="18" hidden="1" customHeight="1">
      <c r="A52" s="206">
        <v>41240</v>
      </c>
      <c r="B52" s="207"/>
      <c r="C52" s="208" t="s">
        <v>108</v>
      </c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</row>
    <row r="53" spans="1:15" ht="18" hidden="1" customHeight="1">
      <c r="A53" s="206">
        <v>41240</v>
      </c>
      <c r="B53" s="207"/>
      <c r="C53" s="208" t="s">
        <v>109</v>
      </c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</row>
    <row r="54" spans="1:15" ht="18" hidden="1" customHeight="1">
      <c r="A54" s="206">
        <v>41240</v>
      </c>
      <c r="B54" s="207"/>
      <c r="C54" s="208" t="s">
        <v>110</v>
      </c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</row>
    <row r="55" spans="1:15" ht="18" hidden="1" customHeight="1">
      <c r="A55" s="206">
        <v>41240</v>
      </c>
      <c r="B55" s="207"/>
      <c r="C55" s="208" t="s">
        <v>111</v>
      </c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</row>
    <row r="56" spans="1:15" hidden="1"/>
    <row r="57" spans="1:15" hidden="1"/>
    <row r="58" spans="1:15" hidden="1"/>
    <row r="59" spans="1:15" hidden="1"/>
  </sheetData>
  <mergeCells count="30">
    <mergeCell ref="A53:B53"/>
    <mergeCell ref="C53:O53"/>
    <mergeCell ref="A54:B54"/>
    <mergeCell ref="C54:O54"/>
    <mergeCell ref="A55:B55"/>
    <mergeCell ref="C55:O55"/>
    <mergeCell ref="A50:B50"/>
    <mergeCell ref="C50:O50"/>
    <mergeCell ref="A51:B51"/>
    <mergeCell ref="C51:O51"/>
    <mergeCell ref="A52:B52"/>
    <mergeCell ref="C52:O52"/>
    <mergeCell ref="C35:O35"/>
    <mergeCell ref="C36:O36"/>
    <mergeCell ref="A48:B48"/>
    <mergeCell ref="C48:O48"/>
    <mergeCell ref="A49:B49"/>
    <mergeCell ref="C49:O49"/>
    <mergeCell ref="A32:A34"/>
    <mergeCell ref="D2:O2"/>
    <mergeCell ref="A3:O3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</mergeCells>
  <printOptions horizontalCentered="1"/>
  <pageMargins left="0.23622047244094499" right="0.23622047244094499" top="0.55118110236220497" bottom="0" header="0.31496062992126" footer="0.118110236220472"/>
  <pageSetup scale="87" orientation="portrait" r:id="rId1"/>
  <headerFooter>
    <oddFooter>&amp;R&amp;P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FBC7-A4B9-4FFD-8037-4C16CC3466CD}">
  <sheetPr>
    <tabColor theme="9" tint="0.59999389629810485"/>
    <pageSetUpPr fitToPage="1"/>
  </sheetPr>
  <dimension ref="A1:O59"/>
  <sheetViews>
    <sheetView view="pageBreakPreview" zoomScale="90" zoomScaleNormal="100" zoomScaleSheetLayoutView="90" workbookViewId="0">
      <selection activeCell="B18" sqref="B18"/>
    </sheetView>
  </sheetViews>
  <sheetFormatPr defaultColWidth="11.296875" defaultRowHeight="15.5"/>
  <cols>
    <col min="1" max="1" width="4.296875" style="123" customWidth="1"/>
    <col min="2" max="2" width="17.796875" style="123" customWidth="1"/>
    <col min="3" max="3" width="6.19921875" style="123" customWidth="1"/>
    <col min="4" max="13" width="6.5" style="123" customWidth="1"/>
    <col min="14" max="14" width="11.296875" style="123" hidden="1" customWidth="1"/>
    <col min="15" max="15" width="4.796875" style="123" customWidth="1"/>
    <col min="16" max="16384" width="11.296875" style="123"/>
  </cols>
  <sheetData>
    <row r="1" spans="1:15" s="62" customFormat="1" ht="13">
      <c r="C1" s="61"/>
    </row>
    <row r="2" spans="1:15" s="62" customFormat="1" ht="50.65" customHeight="1">
      <c r="B2" s="60"/>
      <c r="C2" s="61"/>
      <c r="D2" s="211"/>
      <c r="E2" s="212"/>
      <c r="F2" s="212"/>
      <c r="G2" s="212"/>
      <c r="H2" s="212"/>
      <c r="I2" s="212"/>
      <c r="J2" s="212"/>
      <c r="K2" s="212"/>
      <c r="L2" s="212"/>
      <c r="M2" s="212"/>
      <c r="N2" s="212"/>
    </row>
    <row r="3" spans="1:15" ht="48" customHeight="1">
      <c r="A3" s="213" t="s">
        <v>112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</row>
    <row r="4" spans="1:15" ht="15" customHeight="1" thickBot="1">
      <c r="A4" s="62"/>
      <c r="B4" s="124" t="s">
        <v>75</v>
      </c>
      <c r="C4" s="61"/>
      <c r="D4" s="61" t="s">
        <v>79</v>
      </c>
      <c r="E4" s="61" t="s">
        <v>80</v>
      </c>
      <c r="F4" s="61" t="s">
        <v>81</v>
      </c>
      <c r="G4" s="61" t="s">
        <v>82</v>
      </c>
      <c r="H4" s="61" t="s">
        <v>83</v>
      </c>
      <c r="I4" s="61" t="s">
        <v>84</v>
      </c>
      <c r="J4" s="61" t="s">
        <v>85</v>
      </c>
      <c r="K4" s="61" t="s">
        <v>86</v>
      </c>
      <c r="L4" s="61" t="s">
        <v>87</v>
      </c>
      <c r="M4" s="61" t="s">
        <v>88</v>
      </c>
      <c r="N4" s="62"/>
      <c r="O4" s="62"/>
    </row>
    <row r="5" spans="1:15" s="62" customFormat="1" ht="15" customHeight="1" thickBot="1">
      <c r="B5" s="210" t="s">
        <v>72</v>
      </c>
      <c r="C5" s="125" t="s">
        <v>113</v>
      </c>
      <c r="D5" s="126"/>
      <c r="E5" s="127"/>
      <c r="F5" s="126"/>
      <c r="G5" s="128" t="s">
        <v>90</v>
      </c>
      <c r="H5" s="129" t="s">
        <v>90</v>
      </c>
      <c r="I5" s="128" t="s">
        <v>90</v>
      </c>
      <c r="J5" s="129" t="s">
        <v>90</v>
      </c>
      <c r="K5" s="128" t="s">
        <v>90</v>
      </c>
      <c r="L5" s="129" t="s">
        <v>90</v>
      </c>
      <c r="M5" s="130" t="s">
        <v>90</v>
      </c>
    </row>
    <row r="6" spans="1:15" s="62" customFormat="1" ht="15" customHeight="1" thickBot="1">
      <c r="B6" s="210"/>
      <c r="C6" s="125" t="s">
        <v>91</v>
      </c>
      <c r="D6" s="131"/>
      <c r="E6" s="132"/>
      <c r="F6" s="131"/>
      <c r="G6" s="133" t="s">
        <v>90</v>
      </c>
      <c r="H6" s="134" t="s">
        <v>90</v>
      </c>
      <c r="I6" s="133" t="s">
        <v>90</v>
      </c>
      <c r="J6" s="134" t="s">
        <v>90</v>
      </c>
      <c r="K6" s="133" t="s">
        <v>90</v>
      </c>
      <c r="L6" s="134" t="s">
        <v>90</v>
      </c>
      <c r="M6" s="135" t="s">
        <v>90</v>
      </c>
    </row>
    <row r="7" spans="1:15" s="62" customFormat="1" ht="15" customHeight="1" thickBot="1">
      <c r="B7" s="210"/>
      <c r="C7" s="125" t="s">
        <v>92</v>
      </c>
      <c r="D7" s="136"/>
      <c r="E7" s="137"/>
      <c r="F7" s="136"/>
      <c r="G7" s="137"/>
      <c r="H7" s="136"/>
      <c r="I7" s="137"/>
      <c r="J7" s="136"/>
      <c r="K7" s="137"/>
      <c r="L7" s="136"/>
      <c r="M7" s="138"/>
    </row>
    <row r="8" spans="1:15" ht="15" customHeight="1" thickBot="1">
      <c r="A8" s="62"/>
      <c r="B8" s="210" t="s">
        <v>59</v>
      </c>
      <c r="C8" s="125" t="s">
        <v>113</v>
      </c>
      <c r="D8" s="129" t="s">
        <v>90</v>
      </c>
      <c r="E8" s="128" t="s">
        <v>90</v>
      </c>
      <c r="F8" s="129" t="s">
        <v>90</v>
      </c>
      <c r="G8" s="128" t="s">
        <v>90</v>
      </c>
      <c r="H8" s="129" t="s">
        <v>90</v>
      </c>
      <c r="I8" s="128" t="s">
        <v>90</v>
      </c>
      <c r="J8" s="129" t="s">
        <v>90</v>
      </c>
      <c r="K8" s="128" t="s">
        <v>90</v>
      </c>
      <c r="L8" s="129" t="s">
        <v>90</v>
      </c>
      <c r="M8" s="130" t="s">
        <v>90</v>
      </c>
      <c r="N8" s="62"/>
      <c r="O8" s="62"/>
    </row>
    <row r="9" spans="1:15" ht="15" customHeight="1" thickBot="1">
      <c r="A9" s="62"/>
      <c r="B9" s="210"/>
      <c r="C9" s="125" t="s">
        <v>91</v>
      </c>
      <c r="D9" s="139"/>
      <c r="E9" s="140"/>
      <c r="F9" s="139"/>
      <c r="G9" s="140"/>
      <c r="H9" s="139"/>
      <c r="I9" s="140"/>
      <c r="J9" s="139"/>
      <c r="K9" s="140"/>
      <c r="L9" s="139"/>
      <c r="M9" s="141"/>
      <c r="N9" s="62"/>
      <c r="O9" s="62"/>
    </row>
    <row r="10" spans="1:15" ht="15" customHeight="1" thickBot="1">
      <c r="A10" s="62"/>
      <c r="B10" s="210"/>
      <c r="C10" s="125" t="s">
        <v>92</v>
      </c>
      <c r="D10" s="142"/>
      <c r="E10" s="143"/>
      <c r="F10" s="142"/>
      <c r="G10" s="143"/>
      <c r="H10" s="142"/>
      <c r="I10" s="143"/>
      <c r="J10" s="142"/>
      <c r="K10" s="143"/>
      <c r="L10" s="142"/>
      <c r="M10" s="144"/>
      <c r="N10" s="62"/>
      <c r="O10" s="62"/>
    </row>
    <row r="11" spans="1:15" s="62" customFormat="1" ht="15" customHeight="1" thickBot="1">
      <c r="B11" s="210" t="s">
        <v>65</v>
      </c>
      <c r="C11" s="125" t="s">
        <v>113</v>
      </c>
      <c r="D11" s="145" t="s">
        <v>90</v>
      </c>
      <c r="E11" s="146" t="s">
        <v>90</v>
      </c>
      <c r="F11" s="145" t="s">
        <v>90</v>
      </c>
      <c r="G11" s="146" t="s">
        <v>90</v>
      </c>
      <c r="H11" s="145" t="s">
        <v>90</v>
      </c>
      <c r="I11" s="146" t="s">
        <v>90</v>
      </c>
      <c r="J11" s="145" t="s">
        <v>90</v>
      </c>
      <c r="K11" s="146" t="s">
        <v>90</v>
      </c>
      <c r="L11" s="145" t="s">
        <v>90</v>
      </c>
      <c r="M11" s="147" t="s">
        <v>90</v>
      </c>
    </row>
    <row r="12" spans="1:15" s="62" customFormat="1" ht="15" customHeight="1" thickBot="1">
      <c r="B12" s="210"/>
      <c r="C12" s="125" t="s">
        <v>91</v>
      </c>
      <c r="D12" s="134" t="s">
        <v>90</v>
      </c>
      <c r="E12" s="133" t="s">
        <v>90</v>
      </c>
      <c r="F12" s="134" t="s">
        <v>90</v>
      </c>
      <c r="G12" s="133" t="s">
        <v>90</v>
      </c>
      <c r="H12" s="134" t="s">
        <v>90</v>
      </c>
      <c r="I12" s="133" t="s">
        <v>90</v>
      </c>
      <c r="J12" s="134" t="s">
        <v>90</v>
      </c>
      <c r="K12" s="133" t="s">
        <v>90</v>
      </c>
      <c r="L12" s="134" t="s">
        <v>90</v>
      </c>
      <c r="M12" s="135" t="s">
        <v>90</v>
      </c>
    </row>
    <row r="13" spans="1:15" s="62" customFormat="1" ht="15" customHeight="1" thickBot="1">
      <c r="B13" s="210"/>
      <c r="C13" s="125" t="s">
        <v>92</v>
      </c>
      <c r="D13" s="148"/>
      <c r="E13" s="149"/>
      <c r="F13" s="148"/>
      <c r="G13" s="149"/>
      <c r="H13" s="148"/>
      <c r="I13" s="149"/>
      <c r="J13" s="145" t="s">
        <v>90</v>
      </c>
      <c r="K13" s="146" t="s">
        <v>90</v>
      </c>
      <c r="L13" s="145" t="s">
        <v>90</v>
      </c>
      <c r="M13" s="147" t="s">
        <v>90</v>
      </c>
    </row>
    <row r="14" spans="1:15" ht="15" customHeight="1" thickBot="1">
      <c r="B14" s="215" t="s">
        <v>93</v>
      </c>
      <c r="C14" s="125" t="s">
        <v>113</v>
      </c>
      <c r="D14" s="150" t="s">
        <v>90</v>
      </c>
      <c r="E14" s="151" t="s">
        <v>90</v>
      </c>
      <c r="F14" s="150" t="s">
        <v>90</v>
      </c>
      <c r="G14" s="151" t="s">
        <v>90</v>
      </c>
      <c r="H14" s="150" t="s">
        <v>90</v>
      </c>
      <c r="I14" s="151" t="s">
        <v>90</v>
      </c>
      <c r="J14" s="150" t="s">
        <v>90</v>
      </c>
      <c r="K14" s="151" t="s">
        <v>90</v>
      </c>
      <c r="L14" s="150" t="s">
        <v>90</v>
      </c>
      <c r="M14" s="152" t="s">
        <v>90</v>
      </c>
    </row>
    <row r="15" spans="1:15" ht="15" customHeight="1" thickBot="1">
      <c r="B15" s="216"/>
      <c r="C15" s="125" t="s">
        <v>91</v>
      </c>
      <c r="D15" s="134" t="s">
        <v>90</v>
      </c>
      <c r="E15" s="133" t="s">
        <v>90</v>
      </c>
      <c r="F15" s="134" t="s">
        <v>90</v>
      </c>
      <c r="G15" s="133" t="s">
        <v>90</v>
      </c>
      <c r="H15" s="134" t="s">
        <v>90</v>
      </c>
      <c r="I15" s="133" t="s">
        <v>90</v>
      </c>
      <c r="J15" s="134" t="s">
        <v>90</v>
      </c>
      <c r="K15" s="133" t="s">
        <v>90</v>
      </c>
      <c r="L15" s="134" t="s">
        <v>90</v>
      </c>
      <c r="M15" s="135" t="s">
        <v>90</v>
      </c>
    </row>
    <row r="16" spans="1:15" ht="15" customHeight="1" thickBot="1">
      <c r="B16" s="217"/>
      <c r="C16" s="125" t="s">
        <v>92</v>
      </c>
      <c r="D16" s="136"/>
      <c r="E16" s="137"/>
      <c r="F16" s="136"/>
      <c r="G16" s="137"/>
      <c r="H16" s="136"/>
      <c r="I16" s="137"/>
      <c r="J16" s="153" t="s">
        <v>90</v>
      </c>
      <c r="K16" s="154" t="s">
        <v>90</v>
      </c>
      <c r="L16" s="153" t="s">
        <v>90</v>
      </c>
      <c r="M16" s="155" t="s">
        <v>90</v>
      </c>
    </row>
    <row r="17" spans="1:13" ht="15" customHeight="1" thickBot="1">
      <c r="B17" s="210" t="s">
        <v>70</v>
      </c>
      <c r="C17" s="125" t="s">
        <v>113</v>
      </c>
      <c r="D17" s="129" t="s">
        <v>90</v>
      </c>
      <c r="E17" s="128" t="s">
        <v>90</v>
      </c>
      <c r="F17" s="129" t="s">
        <v>90</v>
      </c>
      <c r="G17" s="128" t="s">
        <v>90</v>
      </c>
      <c r="H17" s="129" t="s">
        <v>90</v>
      </c>
      <c r="I17" s="128" t="s">
        <v>90</v>
      </c>
      <c r="J17" s="129" t="s">
        <v>90</v>
      </c>
      <c r="K17" s="128" t="s">
        <v>90</v>
      </c>
      <c r="L17" s="129" t="s">
        <v>90</v>
      </c>
      <c r="M17" s="130" t="s">
        <v>90</v>
      </c>
    </row>
    <row r="18" spans="1:13" ht="15" customHeight="1" thickBot="1">
      <c r="B18" s="210"/>
      <c r="C18" s="125" t="s">
        <v>91</v>
      </c>
      <c r="D18" s="134" t="s">
        <v>90</v>
      </c>
      <c r="E18" s="133" t="s">
        <v>90</v>
      </c>
      <c r="F18" s="134" t="s">
        <v>90</v>
      </c>
      <c r="G18" s="133" t="s">
        <v>90</v>
      </c>
      <c r="H18" s="134" t="s">
        <v>90</v>
      </c>
      <c r="I18" s="133" t="s">
        <v>90</v>
      </c>
      <c r="J18" s="134" t="s">
        <v>90</v>
      </c>
      <c r="K18" s="133" t="s">
        <v>90</v>
      </c>
      <c r="L18" s="134" t="s">
        <v>90</v>
      </c>
      <c r="M18" s="135" t="s">
        <v>90</v>
      </c>
    </row>
    <row r="19" spans="1:13" ht="15" customHeight="1" thickBot="1">
      <c r="B19" s="210"/>
      <c r="C19" s="125" t="s">
        <v>92</v>
      </c>
      <c r="D19" s="136"/>
      <c r="E19" s="137"/>
      <c r="F19" s="136"/>
      <c r="G19" s="137"/>
      <c r="H19" s="136"/>
      <c r="I19" s="137"/>
      <c r="J19" s="136"/>
      <c r="K19" s="137"/>
      <c r="L19" s="136"/>
      <c r="M19" s="138"/>
    </row>
    <row r="20" spans="1:13" ht="15" customHeight="1" thickBot="1">
      <c r="B20" s="218" t="s">
        <v>68</v>
      </c>
      <c r="C20" s="125" t="s">
        <v>113</v>
      </c>
      <c r="D20" s="156"/>
      <c r="E20" s="157"/>
      <c r="F20" s="158" t="s">
        <v>90</v>
      </c>
      <c r="G20" s="159" t="s">
        <v>90</v>
      </c>
      <c r="H20" s="160" t="s">
        <v>90</v>
      </c>
      <c r="I20" s="159" t="s">
        <v>90</v>
      </c>
      <c r="J20" s="160" t="s">
        <v>90</v>
      </c>
      <c r="K20" s="159" t="s">
        <v>90</v>
      </c>
      <c r="L20" s="160" t="s">
        <v>90</v>
      </c>
      <c r="M20" s="161" t="s">
        <v>90</v>
      </c>
    </row>
    <row r="21" spans="1:13" ht="15" customHeight="1" thickBot="1">
      <c r="B21" s="219"/>
      <c r="C21" s="125" t="s">
        <v>91</v>
      </c>
      <c r="D21" s="131"/>
      <c r="E21" s="132"/>
      <c r="F21" s="162" t="s">
        <v>90</v>
      </c>
      <c r="G21" s="163" t="s">
        <v>90</v>
      </c>
      <c r="H21" s="164" t="s">
        <v>90</v>
      </c>
      <c r="I21" s="163" t="s">
        <v>90</v>
      </c>
      <c r="J21" s="164" t="s">
        <v>90</v>
      </c>
      <c r="K21" s="163" t="s">
        <v>90</v>
      </c>
      <c r="L21" s="164" t="s">
        <v>90</v>
      </c>
      <c r="M21" s="165" t="s">
        <v>90</v>
      </c>
    </row>
    <row r="22" spans="1:13" ht="15" customHeight="1" thickBot="1">
      <c r="B22" s="220"/>
      <c r="C22" s="125" t="s">
        <v>92</v>
      </c>
      <c r="D22" s="136"/>
      <c r="E22" s="137"/>
      <c r="F22" s="136"/>
      <c r="G22" s="137"/>
      <c r="H22" s="136"/>
      <c r="I22" s="137"/>
      <c r="J22" s="136"/>
      <c r="K22" s="137"/>
      <c r="L22" s="136"/>
      <c r="M22" s="138"/>
    </row>
    <row r="23" spans="1:13" ht="15" customHeight="1" thickBot="1">
      <c r="B23" s="218" t="s">
        <v>69</v>
      </c>
      <c r="C23" s="125" t="s">
        <v>113</v>
      </c>
      <c r="D23" s="156"/>
      <c r="E23" s="157"/>
      <c r="F23" s="129" t="s">
        <v>90</v>
      </c>
      <c r="G23" s="128" t="s">
        <v>90</v>
      </c>
      <c r="H23" s="129" t="s">
        <v>90</v>
      </c>
      <c r="I23" s="128" t="s">
        <v>90</v>
      </c>
      <c r="J23" s="129" t="s">
        <v>90</v>
      </c>
      <c r="K23" s="128" t="s">
        <v>90</v>
      </c>
      <c r="L23" s="129" t="s">
        <v>90</v>
      </c>
      <c r="M23" s="130" t="s">
        <v>90</v>
      </c>
    </row>
    <row r="24" spans="1:13" ht="15" customHeight="1" thickBot="1">
      <c r="B24" s="219"/>
      <c r="C24" s="125" t="s">
        <v>91</v>
      </c>
      <c r="D24" s="131"/>
      <c r="E24" s="132"/>
      <c r="F24" s="134" t="s">
        <v>90</v>
      </c>
      <c r="G24" s="133" t="s">
        <v>90</v>
      </c>
      <c r="H24" s="134" t="s">
        <v>90</v>
      </c>
      <c r="I24" s="133" t="s">
        <v>90</v>
      </c>
      <c r="J24" s="134" t="s">
        <v>90</v>
      </c>
      <c r="K24" s="133" t="s">
        <v>90</v>
      </c>
      <c r="L24" s="134" t="s">
        <v>90</v>
      </c>
      <c r="M24" s="135" t="s">
        <v>90</v>
      </c>
    </row>
    <row r="25" spans="1:13" ht="15" customHeight="1" thickBot="1">
      <c r="B25" s="220"/>
      <c r="C25" s="125" t="s">
        <v>92</v>
      </c>
      <c r="D25" s="136"/>
      <c r="E25" s="137"/>
      <c r="F25" s="136"/>
      <c r="G25" s="137"/>
      <c r="H25" s="136"/>
      <c r="I25" s="137"/>
      <c r="J25" s="153" t="s">
        <v>90</v>
      </c>
      <c r="K25" s="154" t="s">
        <v>90</v>
      </c>
      <c r="L25" s="153" t="s">
        <v>90</v>
      </c>
      <c r="M25" s="155" t="s">
        <v>90</v>
      </c>
    </row>
    <row r="26" spans="1:13" ht="15" customHeight="1" thickBot="1">
      <c r="B26" s="210" t="s">
        <v>71</v>
      </c>
      <c r="C26" s="125" t="s">
        <v>113</v>
      </c>
      <c r="D26" s="156"/>
      <c r="E26" s="157"/>
      <c r="F26" s="129" t="s">
        <v>90</v>
      </c>
      <c r="G26" s="128" t="s">
        <v>90</v>
      </c>
      <c r="H26" s="129" t="s">
        <v>90</v>
      </c>
      <c r="I26" s="128" t="s">
        <v>90</v>
      </c>
      <c r="J26" s="129" t="s">
        <v>90</v>
      </c>
      <c r="K26" s="128" t="s">
        <v>90</v>
      </c>
      <c r="L26" s="129" t="s">
        <v>90</v>
      </c>
      <c r="M26" s="130" t="s">
        <v>90</v>
      </c>
    </row>
    <row r="27" spans="1:13" ht="15" customHeight="1" thickBot="1">
      <c r="A27" s="62"/>
      <c r="B27" s="210"/>
      <c r="C27" s="125" t="s">
        <v>91</v>
      </c>
      <c r="D27" s="131"/>
      <c r="E27" s="132"/>
      <c r="F27" s="129" t="s">
        <v>90</v>
      </c>
      <c r="G27" s="128" t="s">
        <v>90</v>
      </c>
      <c r="H27" s="129" t="s">
        <v>90</v>
      </c>
      <c r="I27" s="128" t="s">
        <v>90</v>
      </c>
      <c r="J27" s="129" t="s">
        <v>90</v>
      </c>
      <c r="K27" s="128" t="s">
        <v>90</v>
      </c>
      <c r="L27" s="129" t="s">
        <v>90</v>
      </c>
      <c r="M27" s="130" t="s">
        <v>90</v>
      </c>
    </row>
    <row r="28" spans="1:13" ht="15" customHeight="1" thickBot="1">
      <c r="A28" s="62"/>
      <c r="B28" s="210"/>
      <c r="C28" s="125" t="s">
        <v>92</v>
      </c>
      <c r="D28" s="136"/>
      <c r="E28" s="137"/>
      <c r="F28" s="136"/>
      <c r="G28" s="137"/>
      <c r="H28" s="136"/>
      <c r="I28" s="137"/>
      <c r="J28" s="153" t="s">
        <v>90</v>
      </c>
      <c r="K28" s="154" t="s">
        <v>90</v>
      </c>
      <c r="L28" s="153" t="s">
        <v>90</v>
      </c>
      <c r="M28" s="155" t="s">
        <v>90</v>
      </c>
    </row>
    <row r="29" spans="1:13" ht="15" customHeight="1" thickBot="1">
      <c r="A29" s="62"/>
      <c r="B29" s="210" t="s">
        <v>67</v>
      </c>
      <c r="C29" s="125" t="s">
        <v>113</v>
      </c>
      <c r="D29" s="129" t="s">
        <v>90</v>
      </c>
      <c r="E29" s="128" t="s">
        <v>90</v>
      </c>
      <c r="F29" s="129" t="s">
        <v>90</v>
      </c>
      <c r="G29" s="128" t="s">
        <v>90</v>
      </c>
      <c r="H29" s="129" t="s">
        <v>90</v>
      </c>
      <c r="I29" s="128" t="s">
        <v>90</v>
      </c>
      <c r="J29" s="129" t="s">
        <v>90</v>
      </c>
      <c r="K29" s="128" t="s">
        <v>90</v>
      </c>
      <c r="L29" s="129" t="s">
        <v>90</v>
      </c>
      <c r="M29" s="130" t="s">
        <v>90</v>
      </c>
    </row>
    <row r="30" spans="1:13" ht="15" customHeight="1" thickBot="1">
      <c r="A30" s="62"/>
      <c r="B30" s="210"/>
      <c r="C30" s="125" t="s">
        <v>91</v>
      </c>
      <c r="D30" s="139"/>
      <c r="E30" s="140"/>
      <c r="F30" s="139"/>
      <c r="G30" s="140"/>
      <c r="H30" s="139"/>
      <c r="I30" s="140"/>
      <c r="J30" s="134" t="s">
        <v>90</v>
      </c>
      <c r="K30" s="133" t="s">
        <v>90</v>
      </c>
      <c r="L30" s="134" t="s">
        <v>90</v>
      </c>
      <c r="M30" s="135" t="s">
        <v>90</v>
      </c>
    </row>
    <row r="31" spans="1:13" ht="15" customHeight="1" thickBot="1">
      <c r="A31" s="62"/>
      <c r="B31" s="210"/>
      <c r="C31" s="125" t="s">
        <v>92</v>
      </c>
      <c r="D31" s="142"/>
      <c r="E31" s="143"/>
      <c r="F31" s="142"/>
      <c r="G31" s="143"/>
      <c r="H31" s="142"/>
      <c r="I31" s="143"/>
      <c r="J31" s="153" t="s">
        <v>90</v>
      </c>
      <c r="K31" s="154" t="s">
        <v>90</v>
      </c>
      <c r="L31" s="153" t="s">
        <v>90</v>
      </c>
      <c r="M31" s="155" t="s">
        <v>90</v>
      </c>
    </row>
    <row r="32" spans="1:13" s="62" customFormat="1" ht="15" customHeight="1" thickBot="1">
      <c r="B32" s="210" t="s">
        <v>94</v>
      </c>
      <c r="C32" s="125" t="s">
        <v>113</v>
      </c>
      <c r="D32" s="129" t="s">
        <v>90</v>
      </c>
      <c r="E32" s="128" t="s">
        <v>90</v>
      </c>
      <c r="F32" s="129" t="s">
        <v>90</v>
      </c>
      <c r="G32" s="128" t="s">
        <v>90</v>
      </c>
      <c r="H32" s="129" t="s">
        <v>90</v>
      </c>
      <c r="I32" s="128" t="s">
        <v>90</v>
      </c>
      <c r="J32" s="129" t="s">
        <v>90</v>
      </c>
      <c r="K32" s="128" t="s">
        <v>90</v>
      </c>
      <c r="L32" s="129" t="s">
        <v>90</v>
      </c>
      <c r="M32" s="130" t="s">
        <v>90</v>
      </c>
    </row>
    <row r="33" spans="1:13" s="62" customFormat="1" ht="15" customHeight="1" thickBot="1">
      <c r="B33" s="210"/>
      <c r="C33" s="125" t="s">
        <v>91</v>
      </c>
      <c r="D33" s="139"/>
      <c r="E33" s="140"/>
      <c r="F33" s="139"/>
      <c r="G33" s="140"/>
      <c r="H33" s="139"/>
      <c r="I33" s="140"/>
      <c r="J33" s="134" t="s">
        <v>90</v>
      </c>
      <c r="K33" s="133" t="s">
        <v>90</v>
      </c>
      <c r="L33" s="134" t="s">
        <v>90</v>
      </c>
      <c r="M33" s="135" t="s">
        <v>90</v>
      </c>
    </row>
    <row r="34" spans="1:13" s="62" customFormat="1" ht="15" customHeight="1" thickBot="1">
      <c r="B34" s="210"/>
      <c r="C34" s="125" t="s">
        <v>92</v>
      </c>
      <c r="D34" s="136"/>
      <c r="E34" s="137"/>
      <c r="F34" s="136"/>
      <c r="G34" s="137"/>
      <c r="H34" s="136"/>
      <c r="I34" s="137"/>
      <c r="J34" s="153" t="s">
        <v>90</v>
      </c>
      <c r="K34" s="154" t="s">
        <v>90</v>
      </c>
      <c r="L34" s="153" t="s">
        <v>90</v>
      </c>
      <c r="M34" s="155" t="s">
        <v>90</v>
      </c>
    </row>
    <row r="35" spans="1:13" ht="15.75" customHeight="1">
      <c r="A35" s="62"/>
      <c r="B35" s="166"/>
      <c r="C35" s="167"/>
      <c r="D35" s="221" t="s">
        <v>114</v>
      </c>
      <c r="E35" s="222"/>
      <c r="F35" s="222"/>
      <c r="G35" s="222"/>
      <c r="H35" s="222"/>
      <c r="I35" s="222"/>
      <c r="J35" s="222"/>
      <c r="K35" s="222"/>
      <c r="L35" s="222"/>
      <c r="M35" s="223"/>
    </row>
    <row r="36" spans="1:13" ht="15.75" customHeight="1" thickBot="1">
      <c r="A36" s="62"/>
      <c r="B36" s="168"/>
      <c r="C36" s="169" t="s">
        <v>96</v>
      </c>
      <c r="D36" s="224" t="s">
        <v>97</v>
      </c>
      <c r="E36" s="225"/>
      <c r="F36" s="225"/>
      <c r="G36" s="225"/>
      <c r="H36" s="225"/>
      <c r="I36" s="225"/>
      <c r="J36" s="225"/>
      <c r="K36" s="225"/>
      <c r="L36" s="225"/>
      <c r="M36" s="226"/>
    </row>
    <row r="37" spans="1:13" ht="15.75" customHeight="1">
      <c r="A37" s="62"/>
      <c r="B37" s="62"/>
      <c r="C37" s="61"/>
      <c r="D37" s="62"/>
      <c r="E37" s="62"/>
      <c r="F37" s="62"/>
      <c r="G37" s="62"/>
      <c r="H37" s="62"/>
      <c r="I37" s="62"/>
      <c r="J37" s="62"/>
      <c r="K37" s="170"/>
      <c r="L37" s="117"/>
      <c r="M37" s="117"/>
    </row>
    <row r="38" spans="1:13" ht="15.75" customHeight="1">
      <c r="A38" s="62"/>
      <c r="B38" s="62"/>
      <c r="C38" s="61"/>
      <c r="D38" s="62"/>
      <c r="E38" s="62"/>
      <c r="F38" s="62"/>
      <c r="G38" s="62"/>
      <c r="H38" s="62"/>
      <c r="I38" s="62"/>
      <c r="J38" s="62"/>
      <c r="K38" s="62"/>
      <c r="L38" s="62"/>
      <c r="M38" s="62"/>
    </row>
    <row r="39" spans="1:13" ht="15.75" customHeight="1">
      <c r="A39" s="62"/>
      <c r="B39" s="62"/>
      <c r="C39" s="61"/>
      <c r="D39" s="62"/>
      <c r="E39" s="62"/>
      <c r="F39" s="62"/>
      <c r="G39" s="62"/>
      <c r="H39" s="62"/>
      <c r="I39" s="62"/>
      <c r="J39" s="62"/>
      <c r="K39" s="120"/>
      <c r="L39" s="62"/>
      <c r="M39" s="62"/>
    </row>
    <row r="40" spans="1:13" ht="15.75" customHeight="1">
      <c r="A40" s="62"/>
      <c r="B40" s="62"/>
      <c r="C40" s="61"/>
      <c r="D40" s="62"/>
      <c r="E40" s="62"/>
      <c r="F40" s="62"/>
      <c r="G40" s="62"/>
      <c r="H40" s="62"/>
      <c r="I40" s="62"/>
      <c r="J40" s="62"/>
      <c r="K40" s="62"/>
      <c r="L40" s="62"/>
      <c r="M40" s="62"/>
    </row>
    <row r="41" spans="1:13" ht="18" hidden="1" customHeight="1">
      <c r="A41" s="62"/>
      <c r="B41" s="62"/>
      <c r="C41" s="61"/>
      <c r="D41" s="62"/>
      <c r="E41" s="62"/>
      <c r="F41" s="62"/>
      <c r="G41" s="62"/>
      <c r="H41" s="62"/>
      <c r="I41" s="62"/>
      <c r="J41" s="62"/>
      <c r="K41" s="62"/>
      <c r="L41" s="62"/>
      <c r="M41" s="62"/>
    </row>
    <row r="42" spans="1:13" s="62" customFormat="1" ht="18" hidden="1" customHeight="1">
      <c r="C42" s="61"/>
    </row>
    <row r="43" spans="1:13" s="62" customFormat="1" ht="18" hidden="1" customHeight="1">
      <c r="B43" s="121">
        <v>43174</v>
      </c>
      <c r="C43" s="61"/>
    </row>
    <row r="44" spans="1:13" ht="18" hidden="1" customHeight="1">
      <c r="A44" s="62"/>
      <c r="B44" s="121">
        <v>43047</v>
      </c>
      <c r="C44" s="61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spans="1:13" s="62" customFormat="1" ht="18" hidden="1" customHeight="1">
      <c r="B45" s="121">
        <v>42480</v>
      </c>
      <c r="C45" s="61"/>
    </row>
    <row r="46" spans="1:13" ht="18" hidden="1" customHeight="1">
      <c r="A46" s="62"/>
      <c r="B46" s="121">
        <v>42480</v>
      </c>
      <c r="C46" s="61"/>
      <c r="D46" s="62"/>
      <c r="E46" s="62"/>
      <c r="F46" s="62"/>
      <c r="G46" s="62"/>
      <c r="H46" s="62"/>
      <c r="I46" s="62"/>
      <c r="J46" s="62"/>
      <c r="K46" s="62"/>
      <c r="L46" s="62"/>
      <c r="M46" s="62"/>
    </row>
    <row r="47" spans="1:13" ht="18" hidden="1" customHeight="1">
      <c r="A47" s="62"/>
      <c r="B47" s="121">
        <v>42376</v>
      </c>
      <c r="C47" s="61"/>
      <c r="D47" s="62"/>
      <c r="E47" s="62"/>
      <c r="F47" s="62"/>
      <c r="G47" s="62"/>
      <c r="H47" s="62"/>
      <c r="I47" s="62"/>
      <c r="J47" s="62"/>
      <c r="K47" s="62"/>
      <c r="L47" s="62"/>
      <c r="M47" s="62"/>
    </row>
    <row r="48" spans="1:13" ht="25.5" hidden="1" customHeight="1">
      <c r="A48" s="62"/>
      <c r="B48" s="206">
        <v>41593</v>
      </c>
      <c r="C48" s="207"/>
      <c r="D48" s="209"/>
      <c r="E48" s="209"/>
      <c r="F48" s="209"/>
      <c r="G48" s="209"/>
      <c r="H48" s="209"/>
      <c r="I48" s="209"/>
      <c r="J48" s="209"/>
      <c r="K48" s="209"/>
      <c r="L48" s="209"/>
      <c r="M48" s="209"/>
    </row>
    <row r="49" spans="1:13" ht="18" hidden="1" customHeight="1">
      <c r="A49" s="62"/>
      <c r="B49" s="206">
        <v>41240</v>
      </c>
      <c r="C49" s="207"/>
      <c r="D49" s="209"/>
      <c r="E49" s="209"/>
      <c r="F49" s="209"/>
      <c r="G49" s="209"/>
      <c r="H49" s="209"/>
      <c r="I49" s="209"/>
      <c r="J49" s="209"/>
      <c r="K49" s="209"/>
      <c r="L49" s="209"/>
      <c r="M49" s="209"/>
    </row>
    <row r="50" spans="1:13" ht="28.5" hidden="1" customHeight="1">
      <c r="A50" s="62"/>
      <c r="B50" s="206">
        <v>41240</v>
      </c>
      <c r="C50" s="207"/>
      <c r="D50" s="209"/>
      <c r="E50" s="209"/>
      <c r="F50" s="209"/>
      <c r="G50" s="209"/>
      <c r="H50" s="209"/>
      <c r="I50" s="209"/>
      <c r="J50" s="209"/>
      <c r="K50" s="209"/>
      <c r="L50" s="209"/>
      <c r="M50" s="209"/>
    </row>
    <row r="51" spans="1:13" ht="18" hidden="1" customHeight="1">
      <c r="A51" s="62"/>
      <c r="B51" s="206">
        <v>41240</v>
      </c>
      <c r="C51" s="207"/>
      <c r="D51" s="209"/>
      <c r="E51" s="209"/>
      <c r="F51" s="209"/>
      <c r="G51" s="209"/>
      <c r="H51" s="209"/>
      <c r="I51" s="209"/>
      <c r="J51" s="209"/>
      <c r="K51" s="209"/>
      <c r="L51" s="209"/>
      <c r="M51" s="209"/>
    </row>
    <row r="52" spans="1:13" ht="18" hidden="1" customHeight="1">
      <c r="A52" s="62"/>
      <c r="B52" s="206">
        <v>41240</v>
      </c>
      <c r="C52" s="207"/>
      <c r="D52" s="209"/>
      <c r="E52" s="209"/>
      <c r="F52" s="209"/>
      <c r="G52" s="209"/>
      <c r="H52" s="209"/>
      <c r="I52" s="209"/>
      <c r="J52" s="209"/>
      <c r="K52" s="209"/>
      <c r="L52" s="209"/>
      <c r="M52" s="209"/>
    </row>
    <row r="53" spans="1:13" ht="18" hidden="1" customHeight="1">
      <c r="A53" s="62"/>
      <c r="B53" s="206">
        <v>41240</v>
      </c>
      <c r="C53" s="207"/>
      <c r="D53" s="209"/>
      <c r="E53" s="209"/>
      <c r="F53" s="209"/>
      <c r="G53" s="209"/>
      <c r="H53" s="209"/>
      <c r="I53" s="209"/>
      <c r="J53" s="209"/>
      <c r="K53" s="209"/>
      <c r="L53" s="209"/>
      <c r="M53" s="209"/>
    </row>
    <row r="54" spans="1:13" ht="18" hidden="1" customHeight="1">
      <c r="A54" s="62"/>
      <c r="B54" s="206">
        <v>41240</v>
      </c>
      <c r="C54" s="207"/>
      <c r="D54" s="208"/>
      <c r="E54" s="208"/>
      <c r="F54" s="208"/>
      <c r="G54" s="208"/>
      <c r="H54" s="208"/>
      <c r="I54" s="208"/>
      <c r="J54" s="208"/>
      <c r="K54" s="208"/>
      <c r="L54" s="208"/>
      <c r="M54" s="208"/>
    </row>
    <row r="55" spans="1:13" ht="18" hidden="1" customHeight="1">
      <c r="A55" s="62"/>
      <c r="B55" s="206">
        <v>41240</v>
      </c>
      <c r="C55" s="207"/>
      <c r="D55" s="208"/>
      <c r="E55" s="208"/>
      <c r="F55" s="208"/>
      <c r="G55" s="208"/>
      <c r="H55" s="208"/>
      <c r="I55" s="208"/>
      <c r="J55" s="208"/>
      <c r="K55" s="208"/>
      <c r="L55" s="208"/>
      <c r="M55" s="208"/>
    </row>
    <row r="56" spans="1:13" hidden="1"/>
    <row r="57" spans="1:13" hidden="1"/>
    <row r="58" spans="1:13" hidden="1"/>
    <row r="59" spans="1:13" hidden="1"/>
  </sheetData>
  <mergeCells count="30">
    <mergeCell ref="B53:C53"/>
    <mergeCell ref="D53:M53"/>
    <mergeCell ref="B54:C54"/>
    <mergeCell ref="D54:M54"/>
    <mergeCell ref="B55:C55"/>
    <mergeCell ref="D55:M55"/>
    <mergeCell ref="B50:C50"/>
    <mergeCell ref="D50:M50"/>
    <mergeCell ref="B51:C51"/>
    <mergeCell ref="D51:M51"/>
    <mergeCell ref="B52:C52"/>
    <mergeCell ref="D52:M52"/>
    <mergeCell ref="D35:M35"/>
    <mergeCell ref="D36:M36"/>
    <mergeCell ref="B48:C48"/>
    <mergeCell ref="D48:M48"/>
    <mergeCell ref="B49:C49"/>
    <mergeCell ref="D49:M49"/>
    <mergeCell ref="B32:B34"/>
    <mergeCell ref="D2:N2"/>
    <mergeCell ref="A3:O3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</mergeCells>
  <printOptions horizontalCentered="1"/>
  <pageMargins left="0.23622047244094499" right="0.23622047244094499" top="0.55118110236220497" bottom="0" header="0.31496062992126" footer="0.118110236220472"/>
  <pageSetup orientation="portrait" r:id="rId1"/>
  <headerFooter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Door Pricing</vt:lpstr>
      <vt:lpstr>Door Pricing added 5%</vt:lpstr>
      <vt:lpstr>Adders</vt:lpstr>
      <vt:lpstr>Modèle moulées</vt:lpstr>
      <vt:lpstr>Disponibilité Portes</vt:lpstr>
      <vt:lpstr>Disponibilité Pliantes</vt:lpstr>
      <vt:lpstr>Adders!Print_Area</vt:lpstr>
      <vt:lpstr>'Door Pricing'!Print_Area</vt:lpstr>
      <vt:lpstr>'Door Pricing added 5%'!Print_Area</vt:lpstr>
      <vt:lpstr>'Modèle moulées'!Print_Area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Manpreet Sodhi</dc:creator>
  <cp:lastModifiedBy>Russ Miller</cp:lastModifiedBy>
  <cp:lastPrinted>2025-05-29T13:37:56Z</cp:lastPrinted>
  <dcterms:created xsi:type="dcterms:W3CDTF">2025-01-30T19:23:00Z</dcterms:created>
  <dcterms:modified xsi:type="dcterms:W3CDTF">2025-07-23T14:30:03Z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2024-07-08T00:00:00Z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2025-01-30T00:00:00Z</vt:filetime>
  </property>
  <property fmtid="{D5CDD505-2E9C-101B-9397-08002B2CF9AE}" pid="5" name="Producer">
    <vt:lpwstr>Microsoft® Excel® for Microsoft 365</vt:lpwstr>
  </property>
</Properties>
</file>