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eldweninc1-my.sharepoint.com/personal/russellm_jeld-wen_com/Documents/Desktop/PLM/Price Increase April 4 2025/Interior Doors/WW May 5/Home Hardware Non-Committed/"/>
    </mc:Choice>
  </mc:AlternateContent>
  <xr:revisionPtr revIDLastSave="610" documentId="8_{E2BEBCC3-DF3F-48CF-9157-2F84032245B3}" xr6:coauthVersionLast="47" xr6:coauthVersionMax="47" xr10:uidLastSave="{60E7A3A7-EF7E-4E49-AEE0-A50E76F63B75}"/>
  <bookViews>
    <workbookView xWindow="38290" yWindow="-110" windowWidth="38620" windowHeight="21100" tabRatio="900" xr2:uid="{00000000-000D-0000-FFFF-FFFF00000000}"/>
  </bookViews>
  <sheets>
    <sheet name="Cover" sheetId="15" r:id="rId1"/>
    <sheet name="Colonist-6 Panel" sheetId="18" r:id="rId2"/>
    <sheet name="Moulded Panel" sheetId="7" r:id="rId3"/>
    <sheet name="Moulded Panel (2)" sheetId="28" r:id="rId4"/>
    <sheet name="Moulded Panel (3)" sheetId="20" r:id="rId5"/>
    <sheet name="Conmore" sheetId="31" r:id="rId6"/>
    <sheet name="Conmore (2)" sheetId="32" r:id="rId7"/>
    <sheet name="Conmore (3)" sheetId="33" r:id="rId8"/>
    <sheet name="Flat Panel (Elite)" sheetId="21" r:id="rId9"/>
    <sheet name="Flat Panel Elite (2)" sheetId="29" r:id="rId10"/>
    <sheet name="Flat Panel Elite (3)" sheetId="22" r:id="rId11"/>
    <sheet name="Primed Hardboard" sheetId="23" r:id="rId12"/>
    <sheet name="Primed Hardboard (2)" sheetId="30" r:id="rId13"/>
    <sheet name="Primed Hardboard (3)" sheetId="24" r:id="rId14"/>
    <sheet name="Adders" sheetId="25" r:id="rId15"/>
    <sheet name="Doors Availability" sheetId="36" r:id="rId16"/>
    <sheet name="Bifold Availability" sheetId="37" r:id="rId17"/>
  </sheets>
  <definedNames>
    <definedName name="_xlnm.Print_Area" localSheetId="14">Adders!$A$1:$D$46</definedName>
    <definedName name="_xlnm.Print_Area" localSheetId="1">'Colonist-6 Panel'!$A$1:$G$43</definedName>
    <definedName name="_xlnm.Print_Area" localSheetId="5">Conmore!$A$1:$G$63</definedName>
    <definedName name="_xlnm.Print_Area" localSheetId="6">'Conmore (2)'!$A$1:$G$50</definedName>
    <definedName name="_xlnm.Print_Area" localSheetId="7">'Conmore (3)'!$A$1:$G$48</definedName>
    <definedName name="_xlnm.Print_Area" localSheetId="0">Cover!$A$1:$G$47</definedName>
    <definedName name="_xlnm.Print_Area" localSheetId="8">'Flat Panel (Elite)'!$A$1:$G$63</definedName>
    <definedName name="_xlnm.Print_Area" localSheetId="9">'Flat Panel Elite (2)'!$A$1:$G$50</definedName>
    <definedName name="_xlnm.Print_Area" localSheetId="10">'Flat Panel Elite (3)'!$A$1:$G$48</definedName>
    <definedName name="_xlnm.Print_Area" localSheetId="2">'Moulded Panel'!$A$1:$J$67</definedName>
    <definedName name="_xlnm.Print_Area" localSheetId="3">'Moulded Panel (2)'!$A$1:$J$51</definedName>
    <definedName name="_xlnm.Print_Area" localSheetId="4">'Moulded Panel (3)'!$A$1:$J$51</definedName>
    <definedName name="_xlnm.Print_Area" localSheetId="11">'Primed Hardboard'!$A$1:$G$63</definedName>
    <definedName name="_xlnm.Print_Area" localSheetId="12">'Primed Hardboard (2)'!$A$1:$G$48</definedName>
    <definedName name="_xlnm.Print_Area" localSheetId="13">'Primed Hardboard (3)'!$A$1:$G$48</definedName>
    <definedName name="Print_Titles_MI" localSheetId="1">'Colonist-6 Panel'!$2:$15</definedName>
    <definedName name="Print_Titles_MI" localSheetId="5">Conmore!$2:$12</definedName>
    <definedName name="Print_Titles_MI" localSheetId="6">'Conmore (2)'!$2:$12</definedName>
    <definedName name="Print_Titles_MI" localSheetId="7">'Conmore (3)'!$2:$12</definedName>
    <definedName name="Print_Titles_MI" localSheetId="8">'Flat Panel (Elite)'!$2:$12</definedName>
    <definedName name="Print_Titles_MI" localSheetId="9">'Flat Panel Elite (2)'!$2:$12</definedName>
    <definedName name="Print_Titles_MI" localSheetId="10">'Flat Panel Elite (3)'!$2:$12</definedName>
    <definedName name="Print_Titles_MI" localSheetId="2">'Moulded Panel'!$2:$12</definedName>
    <definedName name="Print_Titles_MI" localSheetId="3">'Moulded Panel (2)'!$2:$12</definedName>
    <definedName name="Print_Titles_MI" localSheetId="4">'Moulded Panel (3)'!$2:$12</definedName>
    <definedName name="Print_Titles_MI" localSheetId="11">'Primed Hardboard'!$2:$14</definedName>
    <definedName name="Print_Titles_MI" localSheetId="12">'Primed Hardboard (2)'!$2:$14</definedName>
    <definedName name="Print_Titles_MI" localSheetId="13">'Primed Hardboard (3)'!$2:$14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5" l="1"/>
  <c r="B23" i="25"/>
  <c r="B22" i="25"/>
  <c r="B21" i="25"/>
  <c r="B20" i="25"/>
  <c r="B19" i="25"/>
  <c r="B18" i="25"/>
  <c r="G19" i="25"/>
  <c r="G20" i="25"/>
  <c r="G21" i="25"/>
  <c r="G22" i="25"/>
  <c r="G23" i="25"/>
  <c r="G24" i="25"/>
  <c r="G27" i="25"/>
  <c r="G28" i="25"/>
  <c r="G29" i="25"/>
  <c r="G30" i="25"/>
  <c r="G18" i="25"/>
  <c r="J34" i="30" l="1"/>
  <c r="E34" i="30" s="1"/>
  <c r="J35" i="30"/>
  <c r="J36" i="30"/>
  <c r="J37" i="30"/>
  <c r="J38" i="30"/>
  <c r="J39" i="30"/>
  <c r="E39" i="30" s="1"/>
  <c r="J40" i="30"/>
  <c r="J41" i="30"/>
  <c r="E41" i="30" s="1"/>
  <c r="J42" i="30"/>
  <c r="E42" i="30" s="1"/>
  <c r="J43" i="30"/>
  <c r="J44" i="30"/>
  <c r="J45" i="30"/>
  <c r="J33" i="30"/>
  <c r="E33" i="30" s="1"/>
  <c r="J18" i="30"/>
  <c r="E18" i="30" s="1"/>
  <c r="J19" i="30"/>
  <c r="J20" i="30"/>
  <c r="J21" i="30"/>
  <c r="E21" i="30" s="1"/>
  <c r="J22" i="30"/>
  <c r="J23" i="30"/>
  <c r="E23" i="30" s="1"/>
  <c r="J24" i="30"/>
  <c r="J25" i="30"/>
  <c r="E25" i="30" s="1"/>
  <c r="J26" i="30"/>
  <c r="E26" i="30" s="1"/>
  <c r="J27" i="30"/>
  <c r="J28" i="30"/>
  <c r="J29" i="30"/>
  <c r="E29" i="30" s="1"/>
  <c r="J17" i="30"/>
  <c r="K15" i="30"/>
  <c r="K14" i="30"/>
  <c r="E47" i="30"/>
  <c r="E46" i="30"/>
  <c r="E45" i="30"/>
  <c r="E44" i="30"/>
  <c r="E43" i="30"/>
  <c r="E40" i="30"/>
  <c r="E38" i="30"/>
  <c r="E37" i="30"/>
  <c r="E36" i="30"/>
  <c r="E35" i="30"/>
  <c r="E31" i="30"/>
  <c r="E28" i="30"/>
  <c r="E27" i="30"/>
  <c r="E24" i="30"/>
  <c r="E22" i="30"/>
  <c r="E20" i="30"/>
  <c r="E19" i="30"/>
  <c r="E17" i="30"/>
  <c r="E30" i="30"/>
  <c r="J36" i="29"/>
  <c r="J37" i="29"/>
  <c r="J38" i="29"/>
  <c r="J39" i="29"/>
  <c r="E39" i="29" s="1"/>
  <c r="J40" i="29"/>
  <c r="E40" i="29" s="1"/>
  <c r="J41" i="29"/>
  <c r="E41" i="29" s="1"/>
  <c r="J42" i="29"/>
  <c r="E42" i="29" s="1"/>
  <c r="J43" i="29"/>
  <c r="J44" i="29"/>
  <c r="J45" i="29"/>
  <c r="J46" i="29"/>
  <c r="E46" i="29" s="1"/>
  <c r="J47" i="29"/>
  <c r="J35" i="29"/>
  <c r="E35" i="29" s="1"/>
  <c r="J20" i="29"/>
  <c r="E20" i="29" s="1"/>
  <c r="J21" i="29"/>
  <c r="E21" i="29" s="1"/>
  <c r="J22" i="29"/>
  <c r="E22" i="29" s="1"/>
  <c r="J23" i="29"/>
  <c r="J24" i="29"/>
  <c r="E24" i="29" s="1"/>
  <c r="J25" i="29"/>
  <c r="J26" i="29"/>
  <c r="J27" i="29"/>
  <c r="J28" i="29"/>
  <c r="E28" i="29" s="1"/>
  <c r="J29" i="29"/>
  <c r="E29" i="29" s="1"/>
  <c r="J30" i="29"/>
  <c r="E30" i="29" s="1"/>
  <c r="J31" i="29"/>
  <c r="E31" i="29" s="1"/>
  <c r="J19" i="29"/>
  <c r="E19" i="29" s="1"/>
  <c r="K15" i="29"/>
  <c r="K14" i="29"/>
  <c r="J36" i="32"/>
  <c r="E36" i="32" s="1"/>
  <c r="J37" i="32"/>
  <c r="E37" i="32" s="1"/>
  <c r="J38" i="32"/>
  <c r="E38" i="32" s="1"/>
  <c r="J39" i="32"/>
  <c r="E39" i="32" s="1"/>
  <c r="J40" i="32"/>
  <c r="E40" i="32" s="1"/>
  <c r="J41" i="32"/>
  <c r="E41" i="32" s="1"/>
  <c r="J42" i="32"/>
  <c r="J43" i="32"/>
  <c r="J44" i="32"/>
  <c r="E44" i="32" s="1"/>
  <c r="J45" i="32"/>
  <c r="E45" i="32" s="1"/>
  <c r="J46" i="32"/>
  <c r="J47" i="32"/>
  <c r="J35" i="32"/>
  <c r="E35" i="32" s="1"/>
  <c r="J20" i="32"/>
  <c r="J21" i="32"/>
  <c r="J22" i="32"/>
  <c r="E22" i="32" s="1"/>
  <c r="J23" i="32"/>
  <c r="J24" i="32"/>
  <c r="J25" i="32"/>
  <c r="E25" i="32" s="1"/>
  <c r="J26" i="32"/>
  <c r="E26" i="32" s="1"/>
  <c r="J27" i="32"/>
  <c r="E27" i="32" s="1"/>
  <c r="J28" i="32"/>
  <c r="J29" i="32"/>
  <c r="J30" i="32"/>
  <c r="E30" i="32" s="1"/>
  <c r="J31" i="32"/>
  <c r="E31" i="32" s="1"/>
  <c r="J19" i="32"/>
  <c r="E19" i="32" s="1"/>
  <c r="K16" i="32"/>
  <c r="K15" i="32"/>
  <c r="M36" i="28"/>
  <c r="M37" i="28"/>
  <c r="G37" i="28" s="1"/>
  <c r="M38" i="28"/>
  <c r="M39" i="28"/>
  <c r="G39" i="28" s="1"/>
  <c r="M40" i="28"/>
  <c r="G40" i="28" s="1"/>
  <c r="M41" i="28"/>
  <c r="G41" i="28" s="1"/>
  <c r="M42" i="28"/>
  <c r="M43" i="28"/>
  <c r="G43" i="28" s="1"/>
  <c r="M44" i="28"/>
  <c r="G44" i="28" s="1"/>
  <c r="M45" i="28"/>
  <c r="G45" i="28" s="1"/>
  <c r="M46" i="28"/>
  <c r="M47" i="28"/>
  <c r="G47" i="28" s="1"/>
  <c r="M35" i="28"/>
  <c r="G35" i="28" s="1"/>
  <c r="M20" i="28"/>
  <c r="M21" i="28"/>
  <c r="G21" i="28" s="1"/>
  <c r="M22" i="28"/>
  <c r="M23" i="28"/>
  <c r="M24" i="28"/>
  <c r="G24" i="28" s="1"/>
  <c r="M25" i="28"/>
  <c r="G25" i="28" s="1"/>
  <c r="M26" i="28"/>
  <c r="G26" i="28" s="1"/>
  <c r="M27" i="28"/>
  <c r="G27" i="28" s="1"/>
  <c r="M28" i="28"/>
  <c r="M29" i="28"/>
  <c r="G29" i="28" s="1"/>
  <c r="M30" i="28"/>
  <c r="G30" i="28" s="1"/>
  <c r="M31" i="28"/>
  <c r="G31" i="28" s="1"/>
  <c r="M19" i="28"/>
  <c r="G19" i="28" s="1"/>
  <c r="N15" i="28"/>
  <c r="N14" i="28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3" i="29"/>
  <c r="E49" i="29"/>
  <c r="E48" i="29"/>
  <c r="E47" i="29"/>
  <c r="E45" i="29"/>
  <c r="E44" i="29"/>
  <c r="E43" i="29"/>
  <c r="E38" i="29"/>
  <c r="E37" i="29"/>
  <c r="E36" i="29"/>
  <c r="E27" i="29"/>
  <c r="E26" i="29"/>
  <c r="E25" i="29"/>
  <c r="E23" i="29"/>
  <c r="E32" i="29"/>
  <c r="E49" i="32"/>
  <c r="E48" i="32"/>
  <c r="E47" i="32"/>
  <c r="E46" i="32"/>
  <c r="E43" i="32"/>
  <c r="E42" i="32"/>
  <c r="E33" i="32"/>
  <c r="E29" i="32"/>
  <c r="E28" i="32"/>
  <c r="E24" i="32"/>
  <c r="E23" i="32"/>
  <c r="E21" i="32"/>
  <c r="E20" i="32"/>
  <c r="E32" i="32"/>
  <c r="G49" i="28"/>
  <c r="G46" i="28"/>
  <c r="G42" i="28"/>
  <c r="G38" i="28"/>
  <c r="G36" i="28"/>
  <c r="G28" i="28"/>
  <c r="G23" i="28"/>
  <c r="G22" i="28"/>
  <c r="G20" i="28"/>
  <c r="G48" i="28"/>
  <c r="G33" i="28"/>
  <c r="G32" i="28"/>
  <c r="H34" i="30"/>
  <c r="H35" i="30"/>
  <c r="H36" i="30"/>
  <c r="H37" i="30"/>
  <c r="H38" i="30"/>
  <c r="H39" i="30"/>
  <c r="H40" i="30"/>
  <c r="H41" i="30"/>
  <c r="H42" i="30"/>
  <c r="H43" i="30"/>
  <c r="H44" i="30"/>
  <c r="H45" i="30"/>
  <c r="H33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17" i="30"/>
  <c r="H36" i="29"/>
  <c r="H37" i="29"/>
  <c r="H38" i="29"/>
  <c r="H39" i="29"/>
  <c r="H40" i="29"/>
  <c r="H41" i="29"/>
  <c r="H42" i="29"/>
  <c r="H43" i="29"/>
  <c r="H44" i="29"/>
  <c r="H45" i="29"/>
  <c r="H46" i="29"/>
  <c r="H47" i="29"/>
  <c r="H35" i="29"/>
  <c r="E62" i="21"/>
  <c r="E61" i="21"/>
  <c r="E46" i="21"/>
  <c r="E45" i="21"/>
  <c r="E33" i="21"/>
  <c r="E32" i="21"/>
  <c r="H36" i="32"/>
  <c r="H37" i="32"/>
  <c r="H38" i="32"/>
  <c r="H39" i="32"/>
  <c r="H40" i="32"/>
  <c r="H41" i="32"/>
  <c r="H42" i="32"/>
  <c r="H43" i="32"/>
  <c r="H44" i="32"/>
  <c r="H45" i="32"/>
  <c r="H46" i="32"/>
  <c r="H47" i="32"/>
  <c r="H35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19" i="32"/>
  <c r="G49" i="20"/>
  <c r="G48" i="20"/>
  <c r="G32" i="20"/>
  <c r="G64" i="7"/>
  <c r="G63" i="7"/>
  <c r="G47" i="7"/>
  <c r="G46" i="7"/>
  <c r="G34" i="7"/>
  <c r="G33" i="7"/>
  <c r="H20" i="29"/>
  <c r="H21" i="29"/>
  <c r="H22" i="29"/>
  <c r="H23" i="29"/>
  <c r="H24" i="29"/>
  <c r="H25" i="29"/>
  <c r="H26" i="29"/>
  <c r="H27" i="29"/>
  <c r="H28" i="29"/>
  <c r="H29" i="29"/>
  <c r="H30" i="29"/>
  <c r="H31" i="29"/>
  <c r="H19" i="29"/>
  <c r="K36" i="28" l="1"/>
  <c r="K37" i="28"/>
  <c r="K38" i="28"/>
  <c r="K39" i="28"/>
  <c r="K40" i="28"/>
  <c r="K41" i="28"/>
  <c r="K42" i="28"/>
  <c r="K43" i="28"/>
  <c r="K44" i="28"/>
  <c r="K45" i="28"/>
  <c r="K46" i="28"/>
  <c r="K47" i="28"/>
  <c r="K35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19" i="28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4" i="21"/>
  <c r="E43" i="21"/>
  <c r="E42" i="21"/>
  <c r="E41" i="21"/>
  <c r="E40" i="21"/>
  <c r="E39" i="21"/>
  <c r="E38" i="21"/>
  <c r="E37" i="21"/>
  <c r="E36" i="21"/>
  <c r="E35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5" i="7"/>
  <c r="G44" i="7"/>
  <c r="G43" i="7"/>
  <c r="G42" i="7"/>
  <c r="G41" i="7"/>
  <c r="G40" i="7"/>
  <c r="G39" i="7"/>
  <c r="G38" i="7"/>
  <c r="G37" i="7"/>
  <c r="G36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A3" i="25" l="1"/>
  <c r="E15" i="24" l="1"/>
  <c r="E15" i="30"/>
  <c r="E15" i="23"/>
  <c r="E17" i="22"/>
  <c r="E17" i="29"/>
  <c r="E17" i="21"/>
  <c r="E17" i="33"/>
  <c r="E17" i="32"/>
  <c r="E17" i="31"/>
  <c r="G17" i="20"/>
  <c r="G17" i="28"/>
  <c r="G17" i="7"/>
  <c r="A3" i="24"/>
  <c r="A3" i="30"/>
  <c r="A3" i="23"/>
  <c r="A3" i="22"/>
  <c r="A3" i="29"/>
  <c r="A3" i="21"/>
  <c r="A3" i="33"/>
  <c r="A3" i="32"/>
  <c r="A3" i="31"/>
  <c r="A3" i="20"/>
  <c r="A3" i="28"/>
  <c r="A3" i="7"/>
  <c r="A2" i="33" l="1"/>
  <c r="A2" i="32"/>
  <c r="A2" i="31"/>
  <c r="A2" i="24" l="1"/>
  <c r="A2" i="30"/>
  <c r="A2" i="23"/>
  <c r="A2" i="22"/>
  <c r="A2" i="29"/>
  <c r="A2" i="21"/>
  <c r="A2" i="20"/>
  <c r="A2" i="28"/>
  <c r="A2" i="7"/>
</calcChain>
</file>

<file path=xl/sharedStrings.xml><?xml version="1.0" encoding="utf-8"?>
<sst xmlns="http://schemas.openxmlformats.org/spreadsheetml/2006/main" count="1732" uniqueCount="148">
  <si>
    <t>Interior Door Price List</t>
  </si>
  <si>
    <t>HOME HARDWARE          NON COMMITTED DEALERS - WEST</t>
  </si>
  <si>
    <r>
      <rPr>
        <b/>
        <sz val="14"/>
        <color rgb="FFFF0000"/>
        <rFont val="Arial"/>
        <family val="2"/>
      </rPr>
      <t xml:space="preserve"> </t>
    </r>
    <r>
      <rPr>
        <b/>
        <sz val="14"/>
        <rFont val="Arial"/>
        <family val="2"/>
      </rPr>
      <t>PRICE LIST</t>
    </r>
  </si>
  <si>
    <t>HOME HARDWARE - NON COMMITTED WEST</t>
  </si>
  <si>
    <t>WOOD GRAIN</t>
  </si>
  <si>
    <t>COLONIST TEXTURED</t>
  </si>
  <si>
    <t>Slab</t>
  </si>
  <si>
    <t>6'8", 7'0", 8'0"</t>
  </si>
  <si>
    <t>Bifold</t>
  </si>
  <si>
    <t>Size</t>
  </si>
  <si>
    <t>Net Price</t>
  </si>
  <si>
    <t>Slab 1 3/8 hollow core</t>
  </si>
  <si>
    <t>12" x 80"</t>
  </si>
  <si>
    <t>(1'0" x 6'8")</t>
  </si>
  <si>
    <t>14" x 80"</t>
  </si>
  <si>
    <t>(1'2" x 6'8")</t>
  </si>
  <si>
    <t>16" x 80"</t>
  </si>
  <si>
    <t>(1'4" x 6'8")</t>
  </si>
  <si>
    <t>18" x 80"</t>
  </si>
  <si>
    <t>(1'6" x 6'8")</t>
  </si>
  <si>
    <t>20" x 80"</t>
  </si>
  <si>
    <t>(1'8" x 6'8")</t>
  </si>
  <si>
    <t>22" x 80"</t>
  </si>
  <si>
    <t>(1'10" x 6'8")</t>
  </si>
  <si>
    <t>24" x 80"</t>
  </si>
  <si>
    <t>(2'0" x 6'8")</t>
  </si>
  <si>
    <t>26" x 80"</t>
  </si>
  <si>
    <t>(2'2" x 6'8")</t>
  </si>
  <si>
    <t>28" x 80"</t>
  </si>
  <si>
    <t>(2'4" x 6'8")</t>
  </si>
  <si>
    <t>30" x 80"</t>
  </si>
  <si>
    <t>(2'6" x 6'8")</t>
  </si>
  <si>
    <t>32" x 80"</t>
  </si>
  <si>
    <t>(2'8" x 6'8")</t>
  </si>
  <si>
    <t>34" x 80"</t>
  </si>
  <si>
    <t>(2'10" x 6'8")</t>
  </si>
  <si>
    <t>36" x 80"</t>
  </si>
  <si>
    <t>(3'0" x 6'8")</t>
  </si>
  <si>
    <t>HEIGHT 84" Add</t>
  </si>
  <si>
    <t>HEIGHT 96" Add</t>
  </si>
  <si>
    <t>Special Colonist (6-Panel) pricing is only for 1-3/8 HC Slabs</t>
  </si>
  <si>
    <t>For all other configurations (bifolds, procore, 1-3/4, pro-reversible, prehungs) refer to pages 3, 4 &amp; 5 (moulded doors)</t>
  </si>
  <si>
    <t>“6 panel slab pricing is temporary, and subject to change at JELD-WEN’s discretion, with 30 days notice, depending on market conditions”</t>
  </si>
  <si>
    <t>Moulded</t>
  </si>
  <si>
    <t>CARRARA</t>
  </si>
  <si>
    <r>
      <t xml:space="preserve">EURO
</t>
    </r>
    <r>
      <rPr>
        <b/>
        <sz val="8"/>
        <rFont val="Arial"/>
        <family val="2"/>
      </rPr>
      <t>Only available 
in 38" width</t>
    </r>
  </si>
  <si>
    <t>CAMDEN</t>
  </si>
  <si>
    <t xml:space="preserve"> SANTA FE</t>
  </si>
  <si>
    <t xml:space="preserve"> ROCKPORT</t>
  </si>
  <si>
    <t>6'8", 7'0"</t>
  </si>
  <si>
    <t>6'8"</t>
  </si>
  <si>
    <t>N/A</t>
  </si>
  <si>
    <t>38" x 80"</t>
  </si>
  <si>
    <t>(3'2" x 6'8") Euro</t>
  </si>
  <si>
    <t>Bifold 1 3/8 c/w hardware</t>
  </si>
  <si>
    <t>Slab 1 3/8 solid core (Procore)</t>
  </si>
  <si>
    <t>Carrara and Euro sticking is not identical</t>
  </si>
  <si>
    <t>1 3/8" HC Easy-Install MDF 4 9/16 x 9/16 (KD Unit)</t>
  </si>
  <si>
    <t>1 3/8" HC Prehung FJ Primed 4 5/8 x 11/16 (assembled unit)</t>
  </si>
  <si>
    <t>Slab 1 3/4 hollow core</t>
  </si>
  <si>
    <t>Slab 1 3/4 solid core</t>
  </si>
  <si>
    <t>Flat Panel</t>
  </si>
  <si>
    <t>CONMORE</t>
  </si>
  <si>
    <t>CRAFTSMAN</t>
  </si>
  <si>
    <t>MADISON</t>
  </si>
  <si>
    <t>MONROE</t>
  </si>
  <si>
    <t>BIRKDALE</t>
  </si>
  <si>
    <t>PRIMED 
HARDBOARD</t>
  </si>
  <si>
    <t>(3'2" x 6'8")</t>
  </si>
  <si>
    <t>Adders</t>
  </si>
  <si>
    <t>HH
Non-Committed
West</t>
  </si>
  <si>
    <t>Additional Options</t>
  </si>
  <si>
    <t>Machining for 1 3/8": 2, 3 or 4 Hinges and Lock</t>
  </si>
  <si>
    <t>Machining for 1 3/4": 3 or 4 Hinges and Lock</t>
  </si>
  <si>
    <t>20 Minute Fire Rated Slab Only (machining 3 or 4 hinges &amp; cyl lock)</t>
  </si>
  <si>
    <t>45 Min  Fire Rated Flush (includes prep for 3 hinges &amp; cyl lock)</t>
  </si>
  <si>
    <t>45 Min  Fire Rated Moulded (includes prep for 3 hinges &amp; cyl lock)</t>
  </si>
  <si>
    <t>60 - 90  Min  Fire Rated Flush (includes prep for 3 hinges &amp; cyl lock)</t>
  </si>
  <si>
    <t>Machining - Dead Bolt</t>
  </si>
  <si>
    <t>Machining - Viewer</t>
  </si>
  <si>
    <t>Non-Standard Charge 
(20 of the same size/style or more=$0.00)</t>
  </si>
  <si>
    <t>Jamb Add-ons: add to Hollow Core or Solid Core Slabs</t>
  </si>
  <si>
    <t>4-9/16" MDF jamb for an Easy IN</t>
  </si>
  <si>
    <t>6-9/16" MDF jamb for an Easy IN</t>
  </si>
  <si>
    <t>4-9/16" FJP jamb for Easy IN</t>
  </si>
  <si>
    <t>6-9/16" FJP jamb for Easy IN</t>
  </si>
  <si>
    <t>4-9/16" FJ Primed for Prehung</t>
  </si>
  <si>
    <t>4-9/16" FJP jamb Rabbeted Prehung</t>
  </si>
  <si>
    <t>6-9/16" FJP jamb Rabbeted Prehung</t>
  </si>
  <si>
    <t>Options</t>
  </si>
  <si>
    <t>Hinge Finish</t>
  </si>
  <si>
    <t>Ball Catch</t>
  </si>
  <si>
    <t>Flush Bolt</t>
  </si>
  <si>
    <t>BB Hinges</t>
  </si>
  <si>
    <t>modèle / model</t>
  </si>
  <si>
    <t>12''</t>
  </si>
  <si>
    <t>14''</t>
  </si>
  <si>
    <t>16''</t>
  </si>
  <si>
    <t>18''</t>
  </si>
  <si>
    <t>20''</t>
  </si>
  <si>
    <t>22''</t>
  </si>
  <si>
    <t>24''</t>
  </si>
  <si>
    <t>26''</t>
  </si>
  <si>
    <t>28''</t>
  </si>
  <si>
    <t>30''</t>
  </si>
  <si>
    <t>32''</t>
  </si>
  <si>
    <t>34''</t>
  </si>
  <si>
    <t>36''</t>
  </si>
  <si>
    <t>80''</t>
  </si>
  <si>
    <t>X</t>
  </si>
  <si>
    <t>84''</t>
  </si>
  <si>
    <t>96''</t>
  </si>
  <si>
    <t>COLONIST      TEXT</t>
  </si>
  <si>
    <t>ROCKPORT</t>
  </si>
  <si>
    <t>SANTA FE</t>
  </si>
  <si>
    <t>Non disponible / Not Available size</t>
  </si>
  <si>
    <t>x</t>
  </si>
  <si>
    <t xml:space="preserve">Disponible / Available </t>
  </si>
  <si>
    <t>notes internes</t>
  </si>
  <si>
    <t>ajot AVA 84'' x 18 à 36 incl, contl 16x84, rock 16x84''</t>
  </si>
  <si>
    <t>ajout carrara 80 84 96'', contl 28 et 32x96 , de 4 a 5, ajout coventry 84 et 96</t>
  </si>
  <si>
    <t>Avalon 26- de cmi à skin JW ( batt de 5,3/16 à 3,3/16)</t>
  </si>
  <si>
    <t>ajout Monroe, enlevé atherton ( Kathya ) , enlevé avalon 84'' ( Kathya )</t>
  </si>
  <si>
    <t>enlevé arl bostonian, stanford, ajouté colonist tex col smth, coventry, monroe a venir</t>
  </si>
  <si>
    <t>MAJ liste prix 2014, ajout 96 = ath 12à20 inc, camb 12 a 16 inc, cont 12 a 16 inc, princ 12 a 20 inc, safe 12 a 16 inc. Miroir changé 2,3/8 seuelement pour la r`gle affichée</t>
  </si>
  <si>
    <t>ajout Conmore + Madison + note exécutive + détail du mini bkst 2.3/8</t>
  </si>
  <si>
    <r>
      <t xml:space="preserve">note backset 2.3/8 = diam trou poignée 2.1/8 + 1/2 diam ( 1.1/16) = 3.7/16 + rosette finition 2.5/8 ou 3.7/16 + 1/4 = 3.11/16 + var shaper 1/8 = </t>
    </r>
    <r>
      <rPr>
        <b/>
        <sz val="10"/>
        <rFont val="Arial"/>
        <family val="2"/>
      </rPr>
      <t>3.13/16</t>
    </r>
  </si>
  <si>
    <t>revision pann bos 20''x80 et 84'' = ok batt 4.1/16 , ok backset 2.3/8</t>
  </si>
  <si>
    <t>revision bos 20x96, batt 5.1/8</t>
  </si>
  <si>
    <t>cont 16 et 18 x 80 et 84 sous min requis backset 2.3/8</t>
  </si>
  <si>
    <t>craftsman 12x80 et 84, sous min requis backset 2.3/8</t>
  </si>
  <si>
    <t>rockport 16x80 sous min requis backset 2.3/8</t>
  </si>
  <si>
    <t>79''</t>
  </si>
  <si>
    <t xml:space="preserve">Non disponible / Not Available </t>
  </si>
  <si>
    <t>NET PRICE LIST (May 4, 2025)</t>
  </si>
  <si>
    <t>Willmar</t>
  </si>
  <si>
    <t xml:space="preserve"> Doors - sizes available</t>
  </si>
  <si>
    <t>Bifolds - sizes available</t>
  </si>
  <si>
    <t>Adder</t>
  </si>
  <si>
    <t>Adder 2022</t>
  </si>
  <si>
    <t>% Increase</t>
  </si>
  <si>
    <t>Easy In</t>
  </si>
  <si>
    <t>Prehung</t>
  </si>
  <si>
    <t>Adder May 2025
(Rounded up)</t>
  </si>
  <si>
    <t>Total</t>
  </si>
  <si>
    <t>Double Door Price = single prehung price x2, Plus Adder price 
(Includes 2 ball catches or 1 flushbolt)</t>
  </si>
  <si>
    <t>Jan 2022 Price</t>
  </si>
  <si>
    <t>May 2025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</si>
</sst>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[$-1009]mmmm\ d\,\ yyyy;@"/>
    <numFmt numFmtId="168" formatCode="&quot;$&quot;#,##0.00"/>
    <numFmt numFmtId="169" formatCode="#&quot; &quot;??/16"/>
    <numFmt numFmtId="170" formatCode="0.00000"/>
    <numFmt numFmtId="171" formatCode="&quot;$&quot;#,##0.0000"/>
    <numFmt numFmtId="172" formatCode="0.0000"/>
  </numFmts>
  <fonts count="63">
    <font>
      <sz val="12"/>
      <name val="CG Omega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name val="Arial Narrow"/>
      <family val="2"/>
    </font>
    <font>
      <sz val="8"/>
      <color indexed="8"/>
      <name val="Tahoma"/>
      <family val="2"/>
    </font>
    <font>
      <sz val="7"/>
      <color indexed="8"/>
      <name val="Arial Narrow"/>
      <family val="2"/>
    </font>
    <font>
      <b/>
      <sz val="9"/>
      <name val="Times New Roman"/>
      <family val="1"/>
    </font>
    <font>
      <sz val="8"/>
      <color indexed="9"/>
      <name val="Arial"/>
      <family val="2"/>
    </font>
    <font>
      <sz val="7"/>
      <color indexed="9"/>
      <name val="Arial Narrow"/>
      <family val="2"/>
    </font>
    <font>
      <sz val="6"/>
      <color indexed="9"/>
      <name val="Arial Narrow"/>
      <family val="2"/>
    </font>
    <font>
      <sz val="5"/>
      <color indexed="9"/>
      <name val="Tahoma"/>
      <family val="2"/>
    </font>
    <font>
      <sz val="10"/>
      <name val="Courier"/>
      <family val="3"/>
    </font>
    <font>
      <b/>
      <sz val="8"/>
      <color indexed="8"/>
      <name val="Tahoma"/>
      <family val="2"/>
    </font>
    <font>
      <b/>
      <sz val="10"/>
      <name val="Arial Narrow"/>
      <family val="2"/>
    </font>
    <font>
      <sz val="9"/>
      <name val="Times New Roman"/>
      <family val="1"/>
    </font>
    <font>
      <b/>
      <sz val="11"/>
      <name val="Arial Narrow"/>
      <family val="2"/>
    </font>
    <font>
      <b/>
      <i/>
      <sz val="11"/>
      <name val="Arial Narrow"/>
      <family val="2"/>
    </font>
    <font>
      <b/>
      <sz val="14"/>
      <name val="Arial Narrow"/>
      <family val="2"/>
    </font>
    <font>
      <b/>
      <sz val="11"/>
      <color indexed="8"/>
      <name val="Calibri"/>
      <family val="2"/>
    </font>
    <font>
      <b/>
      <sz val="14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u val="double"/>
      <sz val="14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22"/>
      <name val="CG Omega"/>
    </font>
    <font>
      <sz val="28"/>
      <name val="CG Omega"/>
    </font>
    <font>
      <sz val="48"/>
      <name val="CG Omega"/>
    </font>
    <font>
      <b/>
      <sz val="10"/>
      <name val="CG Omega"/>
    </font>
    <font>
      <sz val="12"/>
      <name val="CG Omega"/>
    </font>
    <font>
      <sz val="24"/>
      <name val="CG Omega"/>
    </font>
    <font>
      <b/>
      <sz val="2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15"/>
      <name val="Arial"/>
      <family val="2"/>
    </font>
    <font>
      <b/>
      <sz val="19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sz val="9"/>
      <name val="CG Omega"/>
    </font>
    <font>
      <b/>
      <sz val="12"/>
      <name val="CG Omega"/>
    </font>
    <font>
      <sz val="8"/>
      <name val="CG Omega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name val="Arial"/>
      <family val="2"/>
    </font>
    <font>
      <sz val="10"/>
      <name val="Arial"/>
      <family val="2"/>
    </font>
    <font>
      <b/>
      <u val="double"/>
      <sz val="11"/>
      <name val="Arial"/>
      <family val="2"/>
    </font>
    <font>
      <sz val="10"/>
      <color rgb="FF000000"/>
      <name val="Calibri"/>
      <family val="2"/>
    </font>
    <font>
      <b/>
      <i/>
      <sz val="14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7ABFF"/>
        <bgColor rgb="FF000000"/>
      </patternFill>
    </fill>
  </fills>
  <borders count="8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theme="2" tint="-0.89999084444715716"/>
      </left>
      <right/>
      <top style="medium">
        <color theme="2" tint="-0.89999084444715716"/>
      </top>
      <bottom/>
      <diagonal/>
    </border>
    <border>
      <left/>
      <right/>
      <top style="medium">
        <color theme="2" tint="-0.89999084444715716"/>
      </top>
      <bottom/>
      <diagonal/>
    </border>
    <border>
      <left style="medium">
        <color theme="2" tint="-0.89999084444715716"/>
      </left>
      <right/>
      <top/>
      <bottom/>
      <diagonal/>
    </border>
    <border>
      <left/>
      <right/>
      <top style="double">
        <color theme="2" tint="-0.89999084444715716"/>
      </top>
      <bottom/>
      <diagonal/>
    </border>
    <border>
      <left style="double">
        <color theme="2" tint="-0.89999084444715716"/>
      </left>
      <right/>
      <top style="double">
        <color theme="2" tint="-0.89999084444715716"/>
      </top>
      <bottom style="double">
        <color theme="2" tint="-0.89999084444715716"/>
      </bottom>
      <diagonal/>
    </border>
    <border>
      <left style="double">
        <color theme="2" tint="-0.89999084444715716"/>
      </left>
      <right/>
      <top/>
      <bottom/>
      <diagonal/>
    </border>
    <border>
      <left style="double">
        <color theme="2" tint="-0.89999084444715716"/>
      </left>
      <right style="double">
        <color theme="2" tint="-0.89999084444715716"/>
      </right>
      <top style="double">
        <color theme="2" tint="-0.89999084444715716"/>
      </top>
      <bottom style="double">
        <color theme="2" tint="-0.89999084444715716"/>
      </bottom>
      <diagonal/>
    </border>
    <border>
      <left/>
      <right style="double">
        <color theme="2" tint="-0.89999084444715716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double">
        <color indexed="8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theme="2" tint="-0.89999084444715716"/>
      </top>
      <bottom/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theme="1"/>
      </bottom>
      <diagonal/>
    </border>
    <border>
      <left style="double">
        <color indexed="8"/>
      </left>
      <right/>
      <top style="double">
        <color indexed="8"/>
      </top>
      <bottom style="double">
        <color theme="1"/>
      </bottom>
      <diagonal/>
    </border>
    <border>
      <left/>
      <right/>
      <top style="double">
        <color indexed="8"/>
      </top>
      <bottom style="double">
        <color theme="1"/>
      </bottom>
      <diagonal/>
    </border>
    <border>
      <left/>
      <right style="double">
        <color indexed="8"/>
      </right>
      <top style="double">
        <color indexed="8"/>
      </top>
      <bottom style="double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36">
    <xf numFmtId="0" fontId="0" fillId="0" borderId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2" fontId="4" fillId="0" borderId="1">
      <alignment horizontal="center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Protection="0">
      <alignment horizontal="left" vertical="center"/>
    </xf>
    <xf numFmtId="0" fontId="6" fillId="8" borderId="0" applyNumberFormat="0" applyProtection="0">
      <alignment horizontal="center" vertical="center"/>
    </xf>
    <xf numFmtId="0" fontId="7" fillId="0" borderId="2"/>
    <xf numFmtId="0" fontId="8" fillId="9" borderId="3" applyNumberFormat="0" applyProtection="0">
      <alignment horizontal="center" vertical="center" wrapText="1"/>
    </xf>
    <xf numFmtId="0" fontId="9" fillId="9" borderId="3" applyNumberFormat="0" applyProtection="0">
      <alignment horizontal="center" vertical="center" wrapText="1"/>
    </xf>
    <xf numFmtId="0" fontId="10" fillId="9" borderId="3" applyNumberFormat="0" applyProtection="0">
      <alignment horizontal="center" vertical="center" wrapText="1"/>
    </xf>
    <xf numFmtId="0" fontId="11" fillId="9" borderId="3" applyNumberFormat="0" applyProtection="0">
      <alignment horizontal="center" vertical="center" wrapText="1"/>
    </xf>
    <xf numFmtId="0" fontId="12" fillId="0" borderId="0"/>
    <xf numFmtId="0" fontId="28" fillId="0" borderId="0"/>
    <xf numFmtId="0" fontId="13" fillId="0" borderId="0" applyNumberFormat="0" applyFill="0" applyBorder="0" applyProtection="0">
      <alignment horizontal="left" vertical="center"/>
    </xf>
    <xf numFmtId="0" fontId="14" fillId="0" borderId="0">
      <alignment horizontal="right"/>
    </xf>
    <xf numFmtId="0" fontId="15" fillId="0" borderId="0">
      <alignment horizontal="left" vertical="center"/>
    </xf>
    <xf numFmtId="0" fontId="16" fillId="0" borderId="4" applyBorder="0">
      <alignment horizontal="center" vertical="center"/>
    </xf>
    <xf numFmtId="0" fontId="17" fillId="0" borderId="0">
      <alignment horizontal="center"/>
    </xf>
    <xf numFmtId="0" fontId="16" fillId="0" borderId="5">
      <alignment horizontal="center" vertical="center"/>
    </xf>
    <xf numFmtId="0" fontId="18" fillId="0" borderId="6">
      <alignment horizontal="center" vertical="center"/>
    </xf>
    <xf numFmtId="0" fontId="16" fillId="0" borderId="0">
      <alignment vertical="top"/>
    </xf>
    <xf numFmtId="0" fontId="19" fillId="0" borderId="7" applyNumberFormat="0" applyFill="0" applyAlignment="0" applyProtection="0"/>
    <xf numFmtId="0" fontId="31" fillId="0" borderId="0"/>
    <xf numFmtId="165" fontId="31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31" fillId="0" borderId="0"/>
    <xf numFmtId="166" fontId="39" fillId="0" borderId="0" applyFont="0" applyFill="0" applyBorder="0" applyAlignment="0" applyProtection="0"/>
    <xf numFmtId="0" fontId="59" fillId="0" borderId="0"/>
  </cellStyleXfs>
  <cellXfs count="369">
    <xf numFmtId="0" fontId="0" fillId="0" borderId="0" xfId="0"/>
    <xf numFmtId="0" fontId="21" fillId="0" borderId="0" xfId="0" applyFont="1"/>
    <xf numFmtId="0" fontId="21" fillId="0" borderId="0" xfId="0" applyFont="1" applyAlignment="1">
      <alignment horizontal="center" vertical="center" shrinkToFit="1"/>
    </xf>
    <xf numFmtId="0" fontId="22" fillId="0" borderId="0" xfId="0" applyFont="1"/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7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22" applyFont="1" applyBorder="1">
      <alignment horizontal="center" vertical="center"/>
    </xf>
    <xf numFmtId="0" fontId="23" fillId="0" borderId="0" xfId="22" applyFont="1" applyBorder="1" applyAlignment="1">
      <alignment horizontal="centerContinuous" vertical="center"/>
    </xf>
    <xf numFmtId="0" fontId="23" fillId="0" borderId="0" xfId="22" applyFont="1" applyBorder="1" applyAlignment="1">
      <alignment horizontal="centerContinuous" vertical="center" wrapText="1"/>
    </xf>
    <xf numFmtId="0" fontId="25" fillId="0" borderId="0" xfId="0" applyFont="1"/>
    <xf numFmtId="0" fontId="32" fillId="0" borderId="0" xfId="22" applyFont="1" applyBorder="1">
      <alignment horizontal="center" vertical="center"/>
    </xf>
    <xf numFmtId="0" fontId="27" fillId="0" borderId="15" xfId="22" applyFont="1" applyBorder="1" applyAlignment="1">
      <alignment horizontal="center" vertical="center" wrapText="1"/>
    </xf>
    <xf numFmtId="0" fontId="27" fillId="0" borderId="17" xfId="22" applyFont="1" applyBorder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7" fillId="0" borderId="14" xfId="22" applyFont="1" applyBorder="1">
      <alignment horizontal="center" vertical="center"/>
    </xf>
    <xf numFmtId="0" fontId="27" fillId="0" borderId="17" xfId="22" applyFont="1" applyBorder="1" applyAlignment="1">
      <alignment horizontal="centerContinuous" vertical="center"/>
    </xf>
    <xf numFmtId="0" fontId="32" fillId="0" borderId="17" xfId="22" applyFont="1" applyBorder="1" applyAlignment="1">
      <alignment horizontal="center" vertical="center" wrapText="1"/>
    </xf>
    <xf numFmtId="0" fontId="32" fillId="0" borderId="17" xfId="22" applyFont="1" applyBorder="1">
      <alignment horizontal="center" vertical="center"/>
    </xf>
    <xf numFmtId="0" fontId="33" fillId="0" borderId="0" xfId="0" applyFont="1" applyAlignment="1">
      <alignment horizontal="center" vertical="center"/>
    </xf>
    <xf numFmtId="0" fontId="36" fillId="0" borderId="0" xfId="0" applyFont="1"/>
    <xf numFmtId="0" fontId="37" fillId="0" borderId="0" xfId="0" applyFont="1" applyAlignment="1">
      <alignment vertical="center"/>
    </xf>
    <xf numFmtId="0" fontId="32" fillId="0" borderId="16" xfId="22" applyFont="1" applyBorder="1">
      <alignment horizontal="center" vertical="center"/>
    </xf>
    <xf numFmtId="0" fontId="25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38" fillId="0" borderId="0" xfId="0" applyFont="1"/>
    <xf numFmtId="17" fontId="38" fillId="0" borderId="0" xfId="0" applyNumberFormat="1" applyFont="1" applyAlignment="1">
      <alignment horizontal="left"/>
    </xf>
    <xf numFmtId="9" fontId="25" fillId="0" borderId="0" xfId="30" applyFont="1" applyProtection="1"/>
    <xf numFmtId="9" fontId="22" fillId="0" borderId="0" xfId="30" applyFont="1"/>
    <xf numFmtId="0" fontId="22" fillId="0" borderId="0" xfId="0" applyFont="1" applyAlignment="1">
      <alignment horizontal="left"/>
    </xf>
    <xf numFmtId="0" fontId="27" fillId="0" borderId="0" xfId="22" applyFont="1" applyBorder="1">
      <alignment horizontal="center" vertical="center"/>
    </xf>
    <xf numFmtId="0" fontId="27" fillId="0" borderId="16" xfId="22" applyFont="1" applyBorder="1" applyAlignment="1">
      <alignment horizontal="centerContinuous" vertical="center"/>
    </xf>
    <xf numFmtId="0" fontId="32" fillId="0" borderId="0" xfId="22" applyFont="1" applyBorder="1" applyAlignment="1">
      <alignment horizontal="center" vertical="center" wrapText="1"/>
    </xf>
    <xf numFmtId="0" fontId="43" fillId="0" borderId="0" xfId="31" applyFont="1" applyAlignment="1">
      <alignment vertical="center"/>
    </xf>
    <xf numFmtId="0" fontId="34" fillId="0" borderId="24" xfId="31" applyFont="1" applyBorder="1" applyAlignment="1">
      <alignment vertical="center" wrapText="1"/>
    </xf>
    <xf numFmtId="13" fontId="32" fillId="0" borderId="39" xfId="33" applyNumberFormat="1" applyFont="1" applyBorder="1" applyAlignment="1">
      <alignment horizontal="center" vertical="center"/>
    </xf>
    <xf numFmtId="13" fontId="32" fillId="0" borderId="41" xfId="33" applyNumberFormat="1" applyFont="1" applyBorder="1" applyAlignment="1">
      <alignment horizontal="center" vertical="center"/>
    </xf>
    <xf numFmtId="13" fontId="32" fillId="0" borderId="42" xfId="33" applyNumberFormat="1" applyFont="1" applyBorder="1" applyAlignment="1">
      <alignment horizontal="center" vertical="center"/>
    </xf>
    <xf numFmtId="13" fontId="32" fillId="12" borderId="36" xfId="33" applyNumberFormat="1" applyFont="1" applyFill="1" applyBorder="1" applyAlignment="1">
      <alignment horizontal="center" vertical="center"/>
    </xf>
    <xf numFmtId="13" fontId="32" fillId="0" borderId="44" xfId="33" applyNumberFormat="1" applyFont="1" applyBorder="1" applyAlignment="1">
      <alignment horizontal="center" vertical="center"/>
    </xf>
    <xf numFmtId="13" fontId="32" fillId="0" borderId="36" xfId="33" applyNumberFormat="1" applyFont="1" applyBorder="1" applyAlignment="1">
      <alignment horizontal="center" vertical="center"/>
    </xf>
    <xf numFmtId="13" fontId="32" fillId="0" borderId="45" xfId="33" applyNumberFormat="1" applyFont="1" applyBorder="1" applyAlignment="1">
      <alignment horizontal="center" vertical="center"/>
    </xf>
    <xf numFmtId="13" fontId="32" fillId="12" borderId="37" xfId="33" applyNumberFormat="1" applyFont="1" applyFill="1" applyBorder="1" applyAlignment="1">
      <alignment horizontal="center" vertical="center"/>
    </xf>
    <xf numFmtId="13" fontId="32" fillId="0" borderId="47" xfId="33" applyNumberFormat="1" applyFont="1" applyBorder="1" applyAlignment="1">
      <alignment horizontal="center" vertical="center"/>
    </xf>
    <xf numFmtId="13" fontId="32" fillId="0" borderId="37" xfId="33" applyNumberFormat="1" applyFont="1" applyBorder="1" applyAlignment="1">
      <alignment horizontal="center" vertical="center"/>
    </xf>
    <xf numFmtId="13" fontId="32" fillId="0" borderId="48" xfId="33" applyNumberFormat="1" applyFont="1" applyBorder="1" applyAlignment="1">
      <alignment horizontal="center" vertical="center"/>
    </xf>
    <xf numFmtId="13" fontId="34" fillId="12" borderId="36" xfId="33" applyNumberFormat="1" applyFont="1" applyFill="1" applyBorder="1" applyAlignment="1">
      <alignment horizontal="center" vertical="center"/>
    </xf>
    <xf numFmtId="13" fontId="34" fillId="12" borderId="44" xfId="33" applyNumberFormat="1" applyFont="1" applyFill="1" applyBorder="1" applyAlignment="1">
      <alignment horizontal="center" vertical="center"/>
    </xf>
    <xf numFmtId="13" fontId="34" fillId="12" borderId="45" xfId="33" applyNumberFormat="1" applyFont="1" applyFill="1" applyBorder="1" applyAlignment="1">
      <alignment horizontal="center" vertical="center"/>
    </xf>
    <xf numFmtId="13" fontId="34" fillId="12" borderId="37" xfId="33" applyNumberFormat="1" applyFont="1" applyFill="1" applyBorder="1" applyAlignment="1">
      <alignment horizontal="center" vertical="center"/>
    </xf>
    <xf numFmtId="13" fontId="34" fillId="12" borderId="47" xfId="33" applyNumberFormat="1" applyFont="1" applyFill="1" applyBorder="1" applyAlignment="1">
      <alignment horizontal="center" vertical="center"/>
    </xf>
    <xf numFmtId="13" fontId="34" fillId="12" borderId="48" xfId="33" applyNumberFormat="1" applyFont="1" applyFill="1" applyBorder="1" applyAlignment="1">
      <alignment horizontal="center" vertical="center"/>
    </xf>
    <xf numFmtId="13" fontId="32" fillId="0" borderId="38" xfId="33" applyNumberFormat="1" applyFont="1" applyBorder="1" applyAlignment="1">
      <alignment horizontal="center" vertical="center"/>
    </xf>
    <xf numFmtId="13" fontId="32" fillId="0" borderId="0" xfId="33" applyNumberFormat="1" applyFont="1" applyAlignment="1">
      <alignment horizontal="center" vertical="center"/>
    </xf>
    <xf numFmtId="13" fontId="32" fillId="0" borderId="50" xfId="33" applyNumberFormat="1" applyFont="1" applyBorder="1" applyAlignment="1">
      <alignment horizontal="center" vertical="center"/>
    </xf>
    <xf numFmtId="13" fontId="32" fillId="12" borderId="38" xfId="33" applyNumberFormat="1" applyFont="1" applyFill="1" applyBorder="1" applyAlignment="1">
      <alignment horizontal="center" vertical="center"/>
    </xf>
    <xf numFmtId="13" fontId="32" fillId="0" borderId="33" xfId="33" applyNumberFormat="1" applyFont="1" applyBorder="1" applyAlignment="1">
      <alignment horizontal="center" vertical="center"/>
    </xf>
    <xf numFmtId="13" fontId="32" fillId="0" borderId="52" xfId="33" applyNumberFormat="1" applyFont="1" applyBorder="1" applyAlignment="1">
      <alignment horizontal="center" vertical="center"/>
    </xf>
    <xf numFmtId="13" fontId="32" fillId="0" borderId="53" xfId="33" applyNumberFormat="1" applyFont="1" applyBorder="1" applyAlignment="1">
      <alignment horizontal="center" vertical="center"/>
    </xf>
    <xf numFmtId="0" fontId="32" fillId="0" borderId="39" xfId="33" applyFont="1" applyBorder="1" applyAlignment="1">
      <alignment horizontal="center" vertical="center"/>
    </xf>
    <xf numFmtId="12" fontId="32" fillId="0" borderId="41" xfId="33" applyNumberFormat="1" applyFont="1" applyBorder="1" applyAlignment="1">
      <alignment horizontal="center" vertical="center"/>
    </xf>
    <xf numFmtId="12" fontId="32" fillId="0" borderId="39" xfId="33" applyNumberFormat="1" applyFont="1" applyBorder="1" applyAlignment="1">
      <alignment horizontal="center" vertical="center"/>
    </xf>
    <xf numFmtId="12" fontId="32" fillId="0" borderId="42" xfId="33" applyNumberFormat="1" applyFont="1" applyBorder="1" applyAlignment="1">
      <alignment horizontal="center" vertical="center"/>
    </xf>
    <xf numFmtId="0" fontId="32" fillId="0" borderId="36" xfId="33" applyFont="1" applyBorder="1" applyAlignment="1">
      <alignment horizontal="center" vertical="center"/>
    </xf>
    <xf numFmtId="12" fontId="32" fillId="0" borderId="44" xfId="33" applyNumberFormat="1" applyFont="1" applyBorder="1" applyAlignment="1">
      <alignment horizontal="center" vertical="center"/>
    </xf>
    <xf numFmtId="12" fontId="32" fillId="0" borderId="36" xfId="33" applyNumberFormat="1" applyFont="1" applyBorder="1" applyAlignment="1">
      <alignment horizontal="center" vertical="center"/>
    </xf>
    <xf numFmtId="12" fontId="32" fillId="0" borderId="45" xfId="33" applyNumberFormat="1" applyFont="1" applyBorder="1" applyAlignment="1">
      <alignment horizontal="center" vertical="center"/>
    </xf>
    <xf numFmtId="13" fontId="32" fillId="12" borderId="47" xfId="33" applyNumberFormat="1" applyFont="1" applyFill="1" applyBorder="1" applyAlignment="1">
      <alignment horizontal="center" vertical="center"/>
    </xf>
    <xf numFmtId="13" fontId="32" fillId="12" borderId="48" xfId="33" applyNumberFormat="1" applyFont="1" applyFill="1" applyBorder="1" applyAlignment="1">
      <alignment horizontal="center" vertical="center"/>
    </xf>
    <xf numFmtId="0" fontId="32" fillId="0" borderId="0" xfId="33" applyFont="1" applyAlignment="1">
      <alignment horizontal="left" vertical="center"/>
    </xf>
    <xf numFmtId="0" fontId="27" fillId="0" borderId="17" xfId="22" applyFont="1" applyBorder="1" applyAlignment="1">
      <alignment horizontal="center" vertical="center" wrapText="1"/>
    </xf>
    <xf numFmtId="0" fontId="50" fillId="0" borderId="0" xfId="31" applyFont="1" applyAlignment="1">
      <alignment vertical="center"/>
    </xf>
    <xf numFmtId="0" fontId="25" fillId="0" borderId="0" xfId="0" applyFont="1" applyAlignment="1">
      <alignment horizontal="left" vertical="center"/>
    </xf>
    <xf numFmtId="0" fontId="51" fillId="0" borderId="0" xfId="31" applyFont="1" applyAlignment="1">
      <alignment vertical="center"/>
    </xf>
    <xf numFmtId="10" fontId="51" fillId="0" borderId="0" xfId="30" applyNumberFormat="1" applyFont="1" applyAlignment="1">
      <alignment horizontal="center" vertical="center"/>
    </xf>
    <xf numFmtId="0" fontId="45" fillId="0" borderId="0" xfId="31" applyFont="1" applyAlignment="1">
      <alignment vertical="center"/>
    </xf>
    <xf numFmtId="7" fontId="31" fillId="0" borderId="27" xfId="0" applyNumberFormat="1" applyFont="1" applyBorder="1" applyAlignment="1">
      <alignment horizontal="center" vertical="center"/>
    </xf>
    <xf numFmtId="7" fontId="31" fillId="0" borderId="28" xfId="0" applyNumberFormat="1" applyFont="1" applyBorder="1" applyAlignment="1">
      <alignment horizontal="center" vertical="center"/>
    </xf>
    <xf numFmtId="7" fontId="31" fillId="0" borderId="29" xfId="0" applyNumberFormat="1" applyFont="1" applyBorder="1" applyAlignment="1">
      <alignment horizontal="center" vertical="center"/>
    </xf>
    <xf numFmtId="7" fontId="31" fillId="0" borderId="0" xfId="0" applyNumberFormat="1" applyFont="1" applyAlignment="1">
      <alignment horizontal="center" vertical="center"/>
    </xf>
    <xf numFmtId="9" fontId="31" fillId="0" borderId="28" xfId="30" applyFont="1" applyFill="1" applyBorder="1" applyAlignment="1" applyProtection="1">
      <alignment horizontal="center" vertical="center"/>
    </xf>
    <xf numFmtId="7" fontId="31" fillId="0" borderId="24" xfId="0" applyNumberFormat="1" applyFont="1" applyBorder="1" applyAlignment="1">
      <alignment horizontal="center" vertical="center"/>
    </xf>
    <xf numFmtId="0" fontId="53" fillId="0" borderId="0" xfId="0" applyFont="1"/>
    <xf numFmtId="0" fontId="52" fillId="0" borderId="0" xfId="0" applyFont="1"/>
    <xf numFmtId="15" fontId="43" fillId="0" borderId="0" xfId="31" applyNumberFormat="1" applyFont="1" applyAlignment="1">
      <alignment vertical="center"/>
    </xf>
    <xf numFmtId="0" fontId="55" fillId="0" borderId="0" xfId="0" applyFont="1"/>
    <xf numFmtId="0" fontId="56" fillId="0" borderId="0" xfId="0" applyFont="1"/>
    <xf numFmtId="166" fontId="55" fillId="0" borderId="0" xfId="34" applyFont="1"/>
    <xf numFmtId="166" fontId="56" fillId="0" borderId="0" xfId="34" applyFont="1" applyProtection="1"/>
    <xf numFmtId="166" fontId="55" fillId="0" borderId="0" xfId="34" applyFont="1" applyProtection="1"/>
    <xf numFmtId="166" fontId="55" fillId="0" borderId="0" xfId="34" applyFont="1" applyFill="1"/>
    <xf numFmtId="171" fontId="31" fillId="0" borderId="0" xfId="0" applyNumberFormat="1" applyFont="1"/>
    <xf numFmtId="170" fontId="31" fillId="0" borderId="0" xfId="34" applyNumberFormat="1" applyFont="1" applyProtection="1"/>
    <xf numFmtId="172" fontId="31" fillId="0" borderId="0" xfId="0" applyNumberFormat="1" applyFont="1"/>
    <xf numFmtId="172" fontId="55" fillId="0" borderId="0" xfId="34" applyNumberFormat="1" applyFont="1"/>
    <xf numFmtId="172" fontId="55" fillId="0" borderId="0" xfId="0" applyNumberFormat="1" applyFont="1"/>
    <xf numFmtId="172" fontId="22" fillId="0" borderId="0" xfId="0" applyNumberFormat="1" applyFont="1"/>
    <xf numFmtId="170" fontId="31" fillId="0" borderId="0" xfId="0" applyNumberFormat="1" applyFont="1"/>
    <xf numFmtId="166" fontId="51" fillId="0" borderId="0" xfId="34" applyFont="1" applyAlignment="1">
      <alignment horizontal="center" vertical="center"/>
    </xf>
    <xf numFmtId="172" fontId="55" fillId="0" borderId="0" xfId="34" applyNumberFormat="1" applyFont="1" applyProtection="1"/>
    <xf numFmtId="172" fontId="56" fillId="0" borderId="0" xfId="0" applyNumberFormat="1" applyFont="1"/>
    <xf numFmtId="2" fontId="57" fillId="0" borderId="0" xfId="31" applyNumberFormat="1" applyFont="1" applyAlignment="1">
      <alignment vertical="center"/>
    </xf>
    <xf numFmtId="0" fontId="57" fillId="0" borderId="0" xfId="31" applyFont="1" applyAlignment="1">
      <alignment vertical="center"/>
    </xf>
    <xf numFmtId="172" fontId="57" fillId="0" borderId="0" xfId="31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166" fontId="55" fillId="0" borderId="0" xfId="34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166" fontId="55" fillId="0" borderId="0" xfId="34" applyFont="1" applyAlignment="1" applyProtection="1">
      <alignment vertical="center"/>
    </xf>
    <xf numFmtId="172" fontId="55" fillId="0" borderId="0" xfId="34" applyNumberFormat="1" applyFont="1" applyAlignment="1" applyProtection="1">
      <alignment vertical="center"/>
    </xf>
    <xf numFmtId="170" fontId="55" fillId="0" borderId="0" xfId="34" applyNumberFormat="1" applyFont="1" applyAlignment="1" applyProtection="1">
      <alignment vertical="center"/>
    </xf>
    <xf numFmtId="9" fontId="25" fillId="0" borderId="0" xfId="30" applyFont="1" applyAlignment="1" applyProtection="1">
      <alignment vertical="center"/>
    </xf>
    <xf numFmtId="9" fontId="22" fillId="0" borderId="0" xfId="30" applyFont="1" applyAlignment="1">
      <alignment vertical="center"/>
    </xf>
    <xf numFmtId="166" fontId="55" fillId="0" borderId="0" xfId="34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32" fillId="0" borderId="16" xfId="22" applyFont="1" applyBorder="1" applyAlignment="1">
      <alignment horizontal="center" vertical="center" wrapText="1"/>
    </xf>
    <xf numFmtId="0" fontId="27" fillId="0" borderId="0" xfId="22" applyFont="1" applyBorder="1" applyAlignment="1">
      <alignment horizontal="centerContinuous" vertical="center"/>
    </xf>
    <xf numFmtId="0" fontId="23" fillId="0" borderId="66" xfId="22" applyFont="1" applyBorder="1">
      <alignment horizontal="center" vertical="center"/>
    </xf>
    <xf numFmtId="0" fontId="44" fillId="0" borderId="0" xfId="31" applyFont="1" applyAlignment="1">
      <alignment vertical="center"/>
    </xf>
    <xf numFmtId="7" fontId="34" fillId="0" borderId="0" xfId="0" applyNumberFormat="1" applyFont="1" applyAlignment="1">
      <alignment horizontal="center" vertical="center"/>
    </xf>
    <xf numFmtId="168" fontId="22" fillId="0" borderId="0" xfId="0" applyNumberFormat="1" applyFont="1"/>
    <xf numFmtId="168" fontId="25" fillId="0" borderId="0" xfId="0" applyNumberFormat="1" applyFont="1"/>
    <xf numFmtId="7" fontId="25" fillId="0" borderId="67" xfId="0" applyNumberFormat="1" applyFont="1" applyBorder="1" applyAlignment="1">
      <alignment horizontal="center" vertical="center" wrapText="1"/>
    </xf>
    <xf numFmtId="7" fontId="25" fillId="0" borderId="68" xfId="0" applyNumberFormat="1" applyFont="1" applyBorder="1" applyAlignment="1">
      <alignment horizontal="center" vertical="center" wrapText="1"/>
    </xf>
    <xf numFmtId="7" fontId="34" fillId="0" borderId="24" xfId="0" applyNumberFormat="1" applyFont="1" applyBorder="1" applyAlignment="1">
      <alignment horizontal="center" vertical="center"/>
    </xf>
    <xf numFmtId="9" fontId="31" fillId="0" borderId="24" xfId="30" applyFont="1" applyFill="1" applyBorder="1" applyAlignment="1" applyProtection="1">
      <alignment horizontal="center" vertical="center"/>
    </xf>
    <xf numFmtId="7" fontId="25" fillId="0" borderId="0" xfId="0" applyNumberFormat="1" applyFont="1" applyAlignment="1">
      <alignment horizontal="center" vertical="center" wrapText="1"/>
    </xf>
    <xf numFmtId="166" fontId="55" fillId="0" borderId="0" xfId="34" applyFont="1" applyBorder="1" applyProtection="1"/>
    <xf numFmtId="166" fontId="55" fillId="0" borderId="0" xfId="34" applyFont="1" applyBorder="1"/>
    <xf numFmtId="166" fontId="56" fillId="0" borderId="0" xfId="34" applyFont="1" applyBorder="1" applyProtection="1"/>
    <xf numFmtId="0" fontId="41" fillId="0" borderId="72" xfId="31" applyFont="1" applyBorder="1" applyAlignment="1">
      <alignment horizontal="center" vertical="center"/>
    </xf>
    <xf numFmtId="0" fontId="42" fillId="0" borderId="74" xfId="31" applyFont="1" applyBorder="1" applyAlignment="1">
      <alignment horizontal="center" vertical="center"/>
    </xf>
    <xf numFmtId="0" fontId="44" fillId="0" borderId="76" xfId="31" applyFont="1" applyBorder="1" applyAlignment="1">
      <alignment vertical="center"/>
    </xf>
    <xf numFmtId="0" fontId="34" fillId="0" borderId="78" xfId="28" applyFont="1" applyBorder="1" applyAlignment="1">
      <alignment vertical="center" wrapText="1"/>
    </xf>
    <xf numFmtId="0" fontId="44" fillId="0" borderId="80" xfId="31" applyFont="1" applyBorder="1" applyAlignment="1">
      <alignment vertical="center"/>
    </xf>
    <xf numFmtId="0" fontId="44" fillId="0" borderId="78" xfId="31" applyFont="1" applyBorder="1" applyAlignment="1">
      <alignment vertical="center"/>
    </xf>
    <xf numFmtId="0" fontId="44" fillId="0" borderId="82" xfId="31" applyFont="1" applyBorder="1" applyAlignment="1">
      <alignment vertical="center"/>
    </xf>
    <xf numFmtId="0" fontId="44" fillId="0" borderId="83" xfId="31" applyFont="1" applyBorder="1" applyAlignment="1">
      <alignment vertical="center"/>
    </xf>
    <xf numFmtId="0" fontId="44" fillId="0" borderId="84" xfId="31" applyFont="1" applyBorder="1" applyAlignment="1">
      <alignment vertical="center"/>
    </xf>
    <xf numFmtId="166" fontId="55" fillId="0" borderId="0" xfId="34" applyFont="1" applyFill="1" applyBorder="1" applyAlignment="1" applyProtection="1">
      <alignment vertical="center"/>
    </xf>
    <xf numFmtId="166" fontId="55" fillId="0" borderId="0" xfId="34" applyFont="1" applyFill="1" applyBorder="1"/>
    <xf numFmtId="9" fontId="31" fillId="0" borderId="0" xfId="30" applyFont="1" applyFill="1" applyBorder="1" applyAlignment="1" applyProtection="1">
      <alignment horizontal="center" vertical="center"/>
    </xf>
    <xf numFmtId="2" fontId="55" fillId="0" borderId="0" xfId="34" applyNumberFormat="1" applyFont="1" applyAlignment="1" applyProtection="1">
      <alignment vertical="center"/>
    </xf>
    <xf numFmtId="0" fontId="61" fillId="15" borderId="0" xfId="0" applyFont="1" applyFill="1" applyAlignment="1">
      <alignment vertical="center"/>
    </xf>
    <xf numFmtId="2" fontId="55" fillId="0" borderId="0" xfId="34" applyNumberFormat="1" applyFont="1" applyProtection="1"/>
    <xf numFmtId="168" fontId="31" fillId="0" borderId="27" xfId="0" applyNumberFormat="1" applyFont="1" applyBorder="1" applyAlignment="1">
      <alignment horizontal="center" vertical="center"/>
    </xf>
    <xf numFmtId="168" fontId="31" fillId="0" borderId="28" xfId="0" applyNumberFormat="1" applyFont="1" applyBorder="1" applyAlignment="1">
      <alignment horizontal="center" vertical="center"/>
    </xf>
    <xf numFmtId="164" fontId="31" fillId="0" borderId="28" xfId="0" applyNumberFormat="1" applyFont="1" applyBorder="1" applyAlignment="1">
      <alignment horizontal="center" vertical="center"/>
    </xf>
    <xf numFmtId="164" fontId="31" fillId="0" borderId="27" xfId="0" applyNumberFormat="1" applyFont="1" applyBorder="1" applyAlignment="1">
      <alignment horizontal="center" vertical="center"/>
    </xf>
    <xf numFmtId="15" fontId="60" fillId="0" borderId="0" xfId="0" applyNumberFormat="1" applyFont="1" applyAlignment="1">
      <alignment vertical="center"/>
    </xf>
    <xf numFmtId="0" fontId="31" fillId="0" borderId="0" xfId="33"/>
    <xf numFmtId="0" fontId="27" fillId="0" borderId="0" xfId="33" applyFont="1" applyAlignment="1">
      <alignment horizontal="center"/>
    </xf>
    <xf numFmtId="0" fontId="31" fillId="0" borderId="0" xfId="33" applyAlignment="1">
      <alignment horizontal="center"/>
    </xf>
    <xf numFmtId="0" fontId="62" fillId="0" borderId="0" xfId="33" applyFont="1" applyAlignment="1">
      <alignment horizontal="left"/>
    </xf>
    <xf numFmtId="0" fontId="20" fillId="0" borderId="0" xfId="33" applyFont="1" applyAlignment="1">
      <alignment horizontal="center"/>
    </xf>
    <xf numFmtId="13" fontId="20" fillId="0" borderId="34" xfId="33" applyNumberFormat="1" applyFont="1" applyBorder="1" applyAlignment="1">
      <alignment horizontal="center" vertical="center"/>
    </xf>
    <xf numFmtId="13" fontId="49" fillId="0" borderId="40" xfId="33" applyNumberFormat="1" applyFont="1" applyBorder="1" applyAlignment="1">
      <alignment horizontal="center" vertical="center"/>
    </xf>
    <xf numFmtId="13" fontId="49" fillId="0" borderId="39" xfId="33" applyNumberFormat="1" applyFont="1" applyBorder="1" applyAlignment="1">
      <alignment horizontal="center" vertical="center"/>
    </xf>
    <xf numFmtId="13" fontId="49" fillId="0" borderId="41" xfId="33" applyNumberFormat="1" applyFont="1" applyBorder="1" applyAlignment="1">
      <alignment horizontal="center" vertical="center"/>
    </xf>
    <xf numFmtId="13" fontId="49" fillId="0" borderId="42" xfId="33" applyNumberFormat="1" applyFont="1" applyBorder="1" applyAlignment="1">
      <alignment horizontal="center" vertical="center"/>
    </xf>
    <xf numFmtId="13" fontId="49" fillId="12" borderId="43" xfId="33" applyNumberFormat="1" applyFont="1" applyFill="1" applyBorder="1" applyAlignment="1">
      <alignment horizontal="center" vertical="center"/>
    </xf>
    <xf numFmtId="13" fontId="49" fillId="12" borderId="36" xfId="33" applyNumberFormat="1" applyFont="1" applyFill="1" applyBorder="1" applyAlignment="1">
      <alignment horizontal="center" vertical="center"/>
    </xf>
    <xf numFmtId="13" fontId="49" fillId="0" borderId="44" xfId="33" applyNumberFormat="1" applyFont="1" applyBorder="1" applyAlignment="1">
      <alignment horizontal="center" vertical="center"/>
    </xf>
    <xf numFmtId="13" fontId="49" fillId="0" borderId="36" xfId="33" applyNumberFormat="1" applyFont="1" applyBorder="1" applyAlignment="1">
      <alignment horizontal="center" vertical="center"/>
    </xf>
    <xf numFmtId="13" fontId="49" fillId="0" borderId="45" xfId="33" applyNumberFormat="1" applyFont="1" applyBorder="1" applyAlignment="1">
      <alignment horizontal="center" vertical="center"/>
    </xf>
    <xf numFmtId="13" fontId="49" fillId="12" borderId="46" xfId="33" applyNumberFormat="1" applyFont="1" applyFill="1" applyBorder="1" applyAlignment="1">
      <alignment horizontal="center" vertical="center"/>
    </xf>
    <xf numFmtId="13" fontId="49" fillId="12" borderId="37" xfId="33" applyNumberFormat="1" applyFont="1" applyFill="1" applyBorder="1" applyAlignment="1">
      <alignment horizontal="center" vertical="center"/>
    </xf>
    <xf numFmtId="13" fontId="49" fillId="0" borderId="47" xfId="33" applyNumberFormat="1" applyFont="1" applyBorder="1" applyAlignment="1">
      <alignment horizontal="center" vertical="center"/>
    </xf>
    <xf numFmtId="13" fontId="49" fillId="0" borderId="37" xfId="33" applyNumberFormat="1" applyFont="1" applyBorder="1" applyAlignment="1">
      <alignment horizontal="center" vertical="center"/>
    </xf>
    <xf numFmtId="13" fontId="49" fillId="0" borderId="48" xfId="33" applyNumberFormat="1" applyFont="1" applyBorder="1" applyAlignment="1">
      <alignment horizontal="center" vertical="center"/>
    </xf>
    <xf numFmtId="13" fontId="49" fillId="12" borderId="44" xfId="33" applyNumberFormat="1" applyFont="1" applyFill="1" applyBorder="1" applyAlignment="1">
      <alignment horizontal="center" vertical="center"/>
    </xf>
    <xf numFmtId="13" fontId="49" fillId="12" borderId="45" xfId="33" applyNumberFormat="1" applyFont="1" applyFill="1" applyBorder="1" applyAlignment="1">
      <alignment horizontal="center" vertical="center"/>
    </xf>
    <xf numFmtId="13" fontId="49" fillId="12" borderId="47" xfId="33" applyNumberFormat="1" applyFont="1" applyFill="1" applyBorder="1" applyAlignment="1">
      <alignment horizontal="center" vertical="center"/>
    </xf>
    <xf numFmtId="13" fontId="49" fillId="12" borderId="48" xfId="33" applyNumberFormat="1" applyFont="1" applyFill="1" applyBorder="1" applyAlignment="1">
      <alignment horizontal="center" vertical="center"/>
    </xf>
    <xf numFmtId="13" fontId="49" fillId="0" borderId="49" xfId="33" applyNumberFormat="1" applyFont="1" applyBorder="1" applyAlignment="1">
      <alignment horizontal="center" vertical="center"/>
    </xf>
    <xf numFmtId="13" fontId="49" fillId="0" borderId="38" xfId="33" applyNumberFormat="1" applyFont="1" applyBorder="1" applyAlignment="1">
      <alignment horizontal="center" vertical="center"/>
    </xf>
    <xf numFmtId="13" fontId="49" fillId="0" borderId="0" xfId="33" applyNumberFormat="1" applyFont="1" applyAlignment="1">
      <alignment horizontal="center" vertical="center"/>
    </xf>
    <xf numFmtId="13" fontId="49" fillId="0" borderId="50" xfId="33" applyNumberFormat="1" applyFont="1" applyBorder="1" applyAlignment="1">
      <alignment horizontal="center" vertical="center"/>
    </xf>
    <xf numFmtId="13" fontId="49" fillId="0" borderId="43" xfId="33" applyNumberFormat="1" applyFont="1" applyBorder="1" applyAlignment="1">
      <alignment horizontal="center" vertical="center"/>
    </xf>
    <xf numFmtId="13" fontId="49" fillId="12" borderId="49" xfId="33" applyNumberFormat="1" applyFont="1" applyFill="1" applyBorder="1" applyAlignment="1">
      <alignment horizontal="center" vertical="center"/>
    </xf>
    <xf numFmtId="13" fontId="49" fillId="12" borderId="38" xfId="33" applyNumberFormat="1" applyFont="1" applyFill="1" applyBorder="1" applyAlignment="1">
      <alignment horizontal="center" vertical="center"/>
    </xf>
    <xf numFmtId="13" fontId="49" fillId="0" borderId="51" xfId="33" applyNumberFormat="1" applyFont="1" applyBorder="1" applyAlignment="1">
      <alignment horizontal="center" vertical="center"/>
    </xf>
    <xf numFmtId="13" fontId="49" fillId="0" borderId="33" xfId="33" applyNumberFormat="1" applyFont="1" applyBorder="1" applyAlignment="1">
      <alignment horizontal="center" vertical="center"/>
    </xf>
    <xf numFmtId="13" fontId="49" fillId="0" borderId="52" xfId="33" applyNumberFormat="1" applyFont="1" applyBorder="1" applyAlignment="1">
      <alignment horizontal="center" vertical="center"/>
    </xf>
    <xf numFmtId="13" fontId="49" fillId="0" borderId="53" xfId="33" applyNumberFormat="1" applyFont="1" applyBorder="1" applyAlignment="1">
      <alignment horizontal="center" vertical="center"/>
    </xf>
    <xf numFmtId="169" fontId="49" fillId="0" borderId="37" xfId="33" applyNumberFormat="1" applyFont="1" applyBorder="1" applyAlignment="1">
      <alignment horizontal="center" vertical="center"/>
    </xf>
    <xf numFmtId="0" fontId="49" fillId="0" borderId="40" xfId="33" applyFont="1" applyBorder="1" applyAlignment="1">
      <alignment horizontal="center" vertical="center"/>
    </xf>
    <xf numFmtId="0" fontId="49" fillId="0" borderId="39" xfId="33" applyFont="1" applyBorder="1" applyAlignment="1">
      <alignment horizontal="center" vertical="center"/>
    </xf>
    <xf numFmtId="12" fontId="49" fillId="0" borderId="41" xfId="33" applyNumberFormat="1" applyFont="1" applyBorder="1" applyAlignment="1">
      <alignment horizontal="center" vertical="center"/>
    </xf>
    <xf numFmtId="0" fontId="49" fillId="0" borderId="41" xfId="33" applyFont="1" applyBorder="1" applyAlignment="1">
      <alignment horizontal="center" vertical="center"/>
    </xf>
    <xf numFmtId="12" fontId="49" fillId="0" borderId="39" xfId="33" applyNumberFormat="1" applyFont="1" applyBorder="1" applyAlignment="1">
      <alignment horizontal="center" vertical="center"/>
    </xf>
    <xf numFmtId="12" fontId="49" fillId="0" borderId="42" xfId="33" applyNumberFormat="1" applyFont="1" applyBorder="1" applyAlignment="1">
      <alignment horizontal="center" vertical="center"/>
    </xf>
    <xf numFmtId="0" fontId="49" fillId="0" borderId="43" xfId="33" applyFont="1" applyBorder="1" applyAlignment="1">
      <alignment horizontal="center" vertical="center"/>
    </xf>
    <xf numFmtId="0" fontId="49" fillId="0" borderId="36" xfId="33" applyFont="1" applyBorder="1" applyAlignment="1">
      <alignment horizontal="center" vertical="center"/>
    </xf>
    <xf numFmtId="12" fontId="49" fillId="0" borderId="44" xfId="33" applyNumberFormat="1" applyFont="1" applyBorder="1" applyAlignment="1">
      <alignment horizontal="center" vertical="center"/>
    </xf>
    <xf numFmtId="0" fontId="49" fillId="0" borderId="44" xfId="33" applyFont="1" applyBorder="1" applyAlignment="1">
      <alignment horizontal="center" vertical="center"/>
    </xf>
    <xf numFmtId="12" fontId="49" fillId="0" borderId="36" xfId="33" applyNumberFormat="1" applyFont="1" applyBorder="1" applyAlignment="1">
      <alignment horizontal="center" vertical="center"/>
    </xf>
    <xf numFmtId="12" fontId="49" fillId="0" borderId="45" xfId="33" applyNumberFormat="1" applyFont="1" applyBorder="1" applyAlignment="1">
      <alignment horizontal="center" vertical="center"/>
    </xf>
    <xf numFmtId="13" fontId="49" fillId="0" borderId="55" xfId="33" applyNumberFormat="1" applyFont="1" applyBorder="1" applyAlignment="1">
      <alignment horizontal="center" vertical="center"/>
    </xf>
    <xf numFmtId="13" fontId="49" fillId="0" borderId="35" xfId="33" applyNumberFormat="1" applyFont="1" applyBorder="1" applyAlignment="1">
      <alignment horizontal="center" vertical="center"/>
    </xf>
    <xf numFmtId="13" fontId="49" fillId="0" borderId="5" xfId="33" applyNumberFormat="1" applyFont="1" applyBorder="1" applyAlignment="1">
      <alignment horizontal="center" vertical="center"/>
    </xf>
    <xf numFmtId="13" fontId="49" fillId="0" borderId="56" xfId="33" applyNumberFormat="1" applyFont="1" applyBorder="1" applyAlignment="1">
      <alignment horizontal="center" vertical="center"/>
    </xf>
    <xf numFmtId="0" fontId="49" fillId="0" borderId="51" xfId="33" applyFont="1" applyBorder="1" applyAlignment="1">
      <alignment horizontal="center"/>
    </xf>
    <xf numFmtId="0" fontId="49" fillId="12" borderId="57" xfId="33" applyFont="1" applyFill="1" applyBorder="1" applyAlignment="1">
      <alignment horizontal="center"/>
    </xf>
    <xf numFmtId="0" fontId="49" fillId="0" borderId="59" xfId="33" applyFont="1" applyBorder="1" applyAlignment="1">
      <alignment horizontal="center"/>
    </xf>
    <xf numFmtId="13" fontId="49" fillId="0" borderId="60" xfId="33" applyNumberFormat="1" applyFont="1" applyBorder="1" applyAlignment="1">
      <alignment horizontal="center" vertical="center"/>
    </xf>
    <xf numFmtId="0" fontId="31" fillId="0" borderId="0" xfId="33" applyAlignment="1">
      <alignment horizontal="right"/>
    </xf>
    <xf numFmtId="0" fontId="27" fillId="0" borderId="0" xfId="33" applyFont="1" applyAlignment="1">
      <alignment horizontal="left"/>
    </xf>
    <xf numFmtId="17" fontId="31" fillId="0" borderId="0" xfId="33" quotePrefix="1" applyNumberFormat="1" applyAlignment="1">
      <alignment horizontal="center"/>
    </xf>
    <xf numFmtId="0" fontId="31" fillId="0" borderId="0" xfId="33" quotePrefix="1" applyAlignment="1">
      <alignment horizontal="center"/>
    </xf>
    <xf numFmtId="14" fontId="31" fillId="0" borderId="0" xfId="33" applyNumberFormat="1" applyAlignment="1">
      <alignment horizontal="center"/>
    </xf>
    <xf numFmtId="0" fontId="31" fillId="0" borderId="0" xfId="33" applyAlignment="1">
      <alignment horizontal="left"/>
    </xf>
    <xf numFmtId="0" fontId="48" fillId="0" borderId="0" xfId="33" applyFont="1" applyAlignment="1">
      <alignment horizontal="left"/>
    </xf>
    <xf numFmtId="13" fontId="27" fillId="0" borderId="32" xfId="33" applyNumberFormat="1" applyFont="1" applyBorder="1" applyAlignment="1">
      <alignment horizontal="center" vertical="center"/>
    </xf>
    <xf numFmtId="13" fontId="32" fillId="12" borderId="39" xfId="33" applyNumberFormat="1" applyFont="1" applyFill="1" applyBorder="1" applyAlignment="1">
      <alignment horizontal="center" vertical="center"/>
    </xf>
    <xf numFmtId="13" fontId="32" fillId="12" borderId="41" xfId="33" applyNumberFormat="1" applyFont="1" applyFill="1" applyBorder="1" applyAlignment="1">
      <alignment horizontal="center" vertical="center"/>
    </xf>
    <xf numFmtId="13" fontId="32" fillId="12" borderId="44" xfId="33" applyNumberFormat="1" applyFont="1" applyFill="1" applyBorder="1" applyAlignment="1">
      <alignment horizontal="center" vertical="center"/>
    </xf>
    <xf numFmtId="13" fontId="32" fillId="12" borderId="0" xfId="33" applyNumberFormat="1" applyFont="1" applyFill="1" applyAlignment="1">
      <alignment horizontal="center" vertical="center"/>
    </xf>
    <xf numFmtId="13" fontId="32" fillId="12" borderId="33" xfId="33" applyNumberFormat="1" applyFont="1" applyFill="1" applyBorder="1" applyAlignment="1">
      <alignment horizontal="center" vertical="center"/>
    </xf>
    <xf numFmtId="13" fontId="32" fillId="12" borderId="52" xfId="33" applyNumberFormat="1" applyFont="1" applyFill="1" applyBorder="1" applyAlignment="1">
      <alignment horizontal="center" vertical="center"/>
    </xf>
    <xf numFmtId="0" fontId="31" fillId="0" borderId="51" xfId="33" applyBorder="1" applyAlignment="1">
      <alignment horizontal="center"/>
    </xf>
    <xf numFmtId="0" fontId="31" fillId="12" borderId="58" xfId="33" applyFill="1" applyBorder="1" applyAlignment="1">
      <alignment horizontal="center"/>
    </xf>
    <xf numFmtId="0" fontId="31" fillId="0" borderId="59" xfId="33" applyBorder="1" applyAlignment="1">
      <alignment horizontal="center"/>
    </xf>
    <xf numFmtId="13" fontId="34" fillId="0" borderId="64" xfId="33" applyNumberFormat="1" applyFont="1" applyBorder="1" applyAlignment="1">
      <alignment horizontal="center" vertical="center"/>
    </xf>
    <xf numFmtId="17" fontId="31" fillId="0" borderId="0" xfId="33" applyNumberFormat="1" applyAlignment="1">
      <alignment horizontal="center"/>
    </xf>
    <xf numFmtId="2" fontId="55" fillId="0" borderId="0" xfId="0" applyNumberFormat="1" applyFont="1"/>
    <xf numFmtId="166" fontId="0" fillId="0" borderId="0" xfId="0" applyNumberFormat="1"/>
    <xf numFmtId="2" fontId="0" fillId="0" borderId="0" xfId="0" applyNumberFormat="1"/>
    <xf numFmtId="4" fontId="55" fillId="0" borderId="0" xfId="0" applyNumberFormat="1" applyFont="1"/>
    <xf numFmtId="10" fontId="55" fillId="0" borderId="0" xfId="30" applyNumberFormat="1" applyFont="1" applyProtection="1"/>
    <xf numFmtId="166" fontId="55" fillId="0" borderId="0" xfId="34" applyFont="1" applyAlignment="1" applyProtection="1">
      <alignment horizontal="center" wrapText="1"/>
    </xf>
    <xf numFmtId="166" fontId="55" fillId="0" borderId="0" xfId="34" applyFont="1" applyAlignment="1" applyProtection="1">
      <alignment horizontal="center"/>
    </xf>
    <xf numFmtId="2" fontId="55" fillId="0" borderId="0" xfId="0" applyNumberFormat="1" applyFont="1" applyAlignment="1">
      <alignment horizontal="right"/>
    </xf>
    <xf numFmtId="7" fontId="34" fillId="0" borderId="77" xfId="0" applyNumberFormat="1" applyFont="1" applyBorder="1" applyAlignment="1">
      <alignment horizontal="center" vertical="center"/>
    </xf>
    <xf numFmtId="168" fontId="34" fillId="0" borderId="28" xfId="0" applyNumberFormat="1" applyFont="1" applyBorder="1" applyAlignment="1">
      <alignment horizontal="center" vertical="center"/>
    </xf>
    <xf numFmtId="7" fontId="34" fillId="0" borderId="79" xfId="0" applyNumberFormat="1" applyFont="1" applyBorder="1" applyAlignment="1">
      <alignment horizontal="center" vertical="center"/>
    </xf>
    <xf numFmtId="10" fontId="57" fillId="0" borderId="0" xfId="30" applyNumberFormat="1" applyFont="1" applyAlignment="1">
      <alignment vertical="center"/>
    </xf>
    <xf numFmtId="7" fontId="34" fillId="0" borderId="81" xfId="0" applyNumberFormat="1" applyFont="1" applyBorder="1" applyAlignment="1">
      <alignment horizontal="center" vertical="center"/>
    </xf>
    <xf numFmtId="7" fontId="34" fillId="0" borderId="85" xfId="0" applyNumberFormat="1" applyFont="1" applyBorder="1" applyAlignment="1">
      <alignment horizontal="center" vertical="center"/>
    </xf>
    <xf numFmtId="7" fontId="34" fillId="0" borderId="86" xfId="0" applyNumberFormat="1" applyFont="1" applyBorder="1" applyAlignment="1">
      <alignment horizontal="center" vertical="center"/>
    </xf>
    <xf numFmtId="7" fontId="34" fillId="0" borderId="87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67" fontId="0" fillId="0" borderId="0" xfId="0" applyNumberFormat="1" applyAlignment="1">
      <alignment horizontal="center" vertical="center"/>
    </xf>
    <xf numFmtId="0" fontId="40" fillId="14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58" fillId="0" borderId="0" xfId="0" applyFont="1" applyAlignment="1">
      <alignment horizontal="left" vertical="center" wrapText="1"/>
    </xf>
    <xf numFmtId="0" fontId="31" fillId="0" borderId="21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4" xfId="0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31" fillId="0" borderId="24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19" xfId="0" applyFont="1" applyBorder="1" applyAlignment="1">
      <alignment horizontal="right" vertical="center"/>
    </xf>
    <xf numFmtId="0" fontId="31" fillId="0" borderId="20" xfId="0" applyFont="1" applyBorder="1" applyAlignment="1">
      <alignment horizontal="right" vertical="center"/>
    </xf>
    <xf numFmtId="0" fontId="31" fillId="0" borderId="20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15" fontId="60" fillId="0" borderId="0" xfId="0" applyNumberFormat="1" applyFont="1" applyAlignment="1">
      <alignment horizontal="center" vertical="center"/>
    </xf>
    <xf numFmtId="49" fontId="26" fillId="0" borderId="0" xfId="0" applyNumberFormat="1" applyFont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 textRotation="90"/>
    </xf>
    <xf numFmtId="0" fontId="25" fillId="0" borderId="69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71" xfId="0" applyFont="1" applyBorder="1" applyAlignment="1">
      <alignment horizontal="center" vertical="center"/>
    </xf>
    <xf numFmtId="7" fontId="31" fillId="0" borderId="24" xfId="0" applyNumberFormat="1" applyFont="1" applyBorder="1" applyAlignment="1">
      <alignment horizontal="center" vertical="center"/>
    </xf>
    <xf numFmtId="7" fontId="31" fillId="0" borderId="2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7" fontId="25" fillId="0" borderId="69" xfId="0" applyNumberFormat="1" applyFont="1" applyBorder="1" applyAlignment="1">
      <alignment horizontal="center" vertical="center" wrapText="1"/>
    </xf>
    <xf numFmtId="7" fontId="25" fillId="0" borderId="71" xfId="0" applyNumberFormat="1" applyFont="1" applyBorder="1" applyAlignment="1">
      <alignment horizontal="center" vertical="center" wrapText="1"/>
    </xf>
    <xf numFmtId="0" fontId="31" fillId="0" borderId="25" xfId="0" applyFont="1" applyBorder="1" applyAlignment="1">
      <alignment horizontal="left" vertical="center"/>
    </xf>
    <xf numFmtId="0" fontId="25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left" vertical="center"/>
    </xf>
    <xf numFmtId="7" fontId="31" fillId="0" borderId="19" xfId="0" applyNumberFormat="1" applyFont="1" applyBorder="1" applyAlignment="1">
      <alignment horizontal="center" vertical="center"/>
    </xf>
    <xf numFmtId="7" fontId="31" fillId="0" borderId="23" xfId="0" applyNumberFormat="1" applyFont="1" applyBorder="1" applyAlignment="1">
      <alignment horizontal="center" vertical="center"/>
    </xf>
    <xf numFmtId="0" fontId="31" fillId="0" borderId="13" xfId="0" applyFont="1" applyBorder="1" applyAlignment="1">
      <alignment horizontal="right" vertical="center" wrapText="1"/>
    </xf>
    <xf numFmtId="0" fontId="31" fillId="0" borderId="0" xfId="0" applyFont="1" applyAlignment="1">
      <alignment horizontal="right" vertical="center" wrapText="1"/>
    </xf>
    <xf numFmtId="7" fontId="31" fillId="0" borderId="0" xfId="0" applyNumberFormat="1" applyFont="1" applyAlignment="1">
      <alignment horizontal="left" vertical="center"/>
    </xf>
    <xf numFmtId="7" fontId="31" fillId="0" borderId="25" xfId="0" applyNumberFormat="1" applyFont="1" applyBorder="1" applyAlignment="1">
      <alignment horizontal="left" vertical="center"/>
    </xf>
    <xf numFmtId="0" fontId="31" fillId="0" borderId="25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11" xfId="0" applyFont="1" applyBorder="1" applyAlignment="1">
      <alignment horizontal="right" vertical="center" wrapText="1"/>
    </xf>
    <xf numFmtId="0" fontId="31" fillId="0" borderId="12" xfId="0" applyFont="1" applyBorder="1" applyAlignment="1">
      <alignment horizontal="right" vertical="center" wrapText="1"/>
    </xf>
    <xf numFmtId="7" fontId="31" fillId="0" borderId="12" xfId="0" applyNumberFormat="1" applyFont="1" applyBorder="1" applyAlignment="1">
      <alignment horizontal="left" vertical="center"/>
    </xf>
    <xf numFmtId="7" fontId="31" fillId="0" borderId="65" xfId="0" applyNumberFormat="1" applyFont="1" applyBorder="1" applyAlignment="1">
      <alignment horizontal="left" vertical="center"/>
    </xf>
    <xf numFmtId="7" fontId="31" fillId="0" borderId="21" xfId="0" applyNumberFormat="1" applyFont="1" applyBorder="1" applyAlignment="1">
      <alignment horizontal="center" vertical="center"/>
    </xf>
    <xf numFmtId="7" fontId="31" fillId="0" borderId="26" xfId="0" applyNumberFormat="1" applyFont="1" applyBorder="1" applyAlignment="1">
      <alignment horizontal="center" vertical="center"/>
    </xf>
    <xf numFmtId="168" fontId="31" fillId="0" borderId="24" xfId="0" applyNumberFormat="1" applyFont="1" applyBorder="1" applyAlignment="1">
      <alignment horizontal="center" vertical="center"/>
    </xf>
    <xf numFmtId="168" fontId="31" fillId="0" borderId="25" xfId="0" applyNumberFormat="1" applyFont="1" applyBorder="1" applyAlignment="1">
      <alignment horizontal="center" vertical="center"/>
    </xf>
    <xf numFmtId="168" fontId="31" fillId="0" borderId="21" xfId="0" applyNumberFormat="1" applyFont="1" applyBorder="1" applyAlignment="1">
      <alignment horizontal="center" vertical="center"/>
    </xf>
    <xf numFmtId="168" fontId="31" fillId="0" borderId="26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68" fontId="31" fillId="0" borderId="19" xfId="0" applyNumberFormat="1" applyFont="1" applyBorder="1" applyAlignment="1">
      <alignment horizontal="center" vertical="center"/>
    </xf>
    <xf numFmtId="168" fontId="31" fillId="0" borderId="23" xfId="0" applyNumberFormat="1" applyFont="1" applyBorder="1" applyAlignment="1">
      <alignment horizontal="center" vertical="center"/>
    </xf>
    <xf numFmtId="15" fontId="30" fillId="0" borderId="0" xfId="0" applyNumberFormat="1" applyFont="1" applyAlignment="1">
      <alignment horizontal="center" vertical="center"/>
    </xf>
    <xf numFmtId="0" fontId="34" fillId="0" borderId="24" xfId="0" applyFont="1" applyBorder="1" applyAlignment="1">
      <alignment horizontal="right" vertical="center"/>
    </xf>
    <xf numFmtId="0" fontId="34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25" fillId="0" borderId="8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34" fillId="0" borderId="19" xfId="0" applyFont="1" applyBorder="1" applyAlignment="1">
      <alignment horizontal="right" vertical="center"/>
    </xf>
    <xf numFmtId="0" fontId="34" fillId="0" borderId="20" xfId="0" applyFont="1" applyBorder="1" applyAlignment="1">
      <alignment horizontal="right" vertical="center"/>
    </xf>
    <xf numFmtId="0" fontId="34" fillId="0" borderId="20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7" fontId="25" fillId="0" borderId="8" xfId="0" applyNumberFormat="1" applyFont="1" applyBorder="1" applyAlignment="1">
      <alignment horizontal="center" vertical="center" wrapText="1"/>
    </xf>
    <xf numFmtId="7" fontId="25" fillId="0" borderId="9" xfId="0" applyNumberFormat="1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1" fillId="0" borderId="19" xfId="0" applyFont="1" applyBorder="1" applyAlignment="1">
      <alignment horizontal="right" vertical="center" wrapText="1"/>
    </xf>
    <xf numFmtId="0" fontId="31" fillId="0" borderId="20" xfId="0" applyFont="1" applyBorder="1" applyAlignment="1">
      <alignment horizontal="right" vertical="center" wrapText="1"/>
    </xf>
    <xf numFmtId="7" fontId="31" fillId="0" borderId="20" xfId="0" applyNumberFormat="1" applyFont="1" applyBorder="1" applyAlignment="1">
      <alignment horizontal="left" vertical="center"/>
    </xf>
    <xf numFmtId="0" fontId="31" fillId="0" borderId="24" xfId="0" applyFont="1" applyBorder="1" applyAlignment="1">
      <alignment horizontal="right" vertical="center" wrapText="1"/>
    </xf>
    <xf numFmtId="0" fontId="31" fillId="0" borderId="21" xfId="0" applyFont="1" applyBorder="1" applyAlignment="1">
      <alignment horizontal="right" vertical="center"/>
    </xf>
    <xf numFmtId="0" fontId="31" fillId="0" borderId="22" xfId="0" applyFont="1" applyBorder="1" applyAlignment="1">
      <alignment horizontal="right" vertical="center"/>
    </xf>
    <xf numFmtId="0" fontId="31" fillId="0" borderId="22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25" fillId="0" borderId="20" xfId="0" applyFont="1" applyBorder="1" applyAlignment="1">
      <alignment horizontal="center" vertical="center"/>
    </xf>
    <xf numFmtId="164" fontId="31" fillId="0" borderId="24" xfId="0" applyNumberFormat="1" applyFont="1" applyBorder="1" applyAlignment="1">
      <alignment horizontal="center" vertical="center"/>
    </xf>
    <xf numFmtId="164" fontId="31" fillId="0" borderId="2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 textRotation="90" wrapText="1"/>
    </xf>
    <xf numFmtId="44" fontId="42" fillId="0" borderId="0" xfId="32" applyFont="1" applyFill="1" applyBorder="1" applyAlignment="1">
      <alignment horizontal="center" vertical="center" wrapText="1"/>
    </xf>
    <xf numFmtId="44" fontId="42" fillId="0" borderId="0" xfId="32" applyFont="1" applyFill="1" applyBorder="1" applyAlignment="1">
      <alignment horizontal="center" vertical="center"/>
    </xf>
    <xf numFmtId="44" fontId="42" fillId="10" borderId="73" xfId="32" applyFont="1" applyFill="1" applyBorder="1" applyAlignment="1">
      <alignment horizontal="center" vertical="center" wrapText="1"/>
    </xf>
    <xf numFmtId="44" fontId="42" fillId="10" borderId="75" xfId="32" applyFont="1" applyFill="1" applyBorder="1" applyAlignment="1">
      <alignment horizontal="center" vertical="center"/>
    </xf>
    <xf numFmtId="0" fontId="20" fillId="0" borderId="34" xfId="33" applyFont="1" applyBorder="1" applyAlignment="1">
      <alignment horizontal="center" vertical="center"/>
    </xf>
    <xf numFmtId="0" fontId="26" fillId="0" borderId="0" xfId="33" applyFont="1" applyAlignment="1">
      <alignment horizontal="center" vertical="top"/>
    </xf>
    <xf numFmtId="0" fontId="47" fillId="11" borderId="0" xfId="33" applyFont="1" applyFill="1" applyAlignment="1">
      <alignment horizontal="center" vertical="center"/>
    </xf>
    <xf numFmtId="0" fontId="20" fillId="0" borderId="33" xfId="33" applyFont="1" applyBorder="1" applyAlignment="1">
      <alignment horizontal="center" vertical="center" wrapText="1"/>
    </xf>
    <xf numFmtId="0" fontId="20" fillId="0" borderId="38" xfId="33" applyFont="1" applyBorder="1" applyAlignment="1">
      <alignment horizontal="center" vertical="center" wrapText="1"/>
    </xf>
    <xf numFmtId="0" fontId="20" fillId="0" borderId="54" xfId="33" applyFont="1" applyBorder="1" applyAlignment="1">
      <alignment horizontal="center" vertical="center" wrapText="1"/>
    </xf>
    <xf numFmtId="0" fontId="20" fillId="0" borderId="33" xfId="33" applyFont="1" applyBorder="1" applyAlignment="1">
      <alignment horizontal="center" vertical="center"/>
    </xf>
    <xf numFmtId="0" fontId="20" fillId="0" borderId="38" xfId="33" applyFont="1" applyBorder="1" applyAlignment="1">
      <alignment horizontal="center" vertical="center"/>
    </xf>
    <xf numFmtId="0" fontId="20" fillId="0" borderId="54" xfId="33" applyFont="1" applyBorder="1" applyAlignment="1">
      <alignment horizontal="center" vertical="center"/>
    </xf>
    <xf numFmtId="0" fontId="49" fillId="0" borderId="58" xfId="33" applyFont="1" applyBorder="1" applyAlignment="1">
      <alignment horizontal="left" vertical="center" wrapText="1"/>
    </xf>
    <xf numFmtId="0" fontId="49" fillId="0" borderId="41" xfId="33" applyFont="1" applyBorder="1" applyAlignment="1">
      <alignment vertical="center" wrapText="1"/>
    </xf>
    <xf numFmtId="0" fontId="49" fillId="0" borderId="42" xfId="33" applyFont="1" applyBorder="1" applyAlignment="1">
      <alignment vertical="center" wrapText="1"/>
    </xf>
    <xf numFmtId="0" fontId="49" fillId="0" borderId="61" xfId="33" applyFont="1" applyBorder="1" applyAlignment="1">
      <alignment horizontal="left" vertical="center" wrapText="1"/>
    </xf>
    <xf numFmtId="0" fontId="49" fillId="0" borderId="62" xfId="33" applyFont="1" applyBorder="1" applyAlignment="1">
      <alignment vertical="center" wrapText="1"/>
    </xf>
    <xf numFmtId="0" fontId="49" fillId="0" borderId="63" xfId="33" applyFont="1" applyBorder="1" applyAlignment="1">
      <alignment vertical="center" wrapText="1"/>
    </xf>
    <xf numFmtId="14" fontId="31" fillId="0" borderId="0" xfId="33" applyNumberFormat="1" applyAlignment="1">
      <alignment horizontal="center"/>
    </xf>
    <xf numFmtId="0" fontId="31" fillId="0" borderId="0" xfId="33" applyAlignment="1">
      <alignment horizontal="center"/>
    </xf>
    <xf numFmtId="0" fontId="31" fillId="0" borderId="0" xfId="33" applyAlignment="1">
      <alignment horizontal="left" wrapText="1"/>
    </xf>
    <xf numFmtId="0" fontId="31" fillId="0" borderId="0" xfId="33"/>
    <xf numFmtId="0" fontId="27" fillId="0" borderId="34" xfId="33" applyFont="1" applyBorder="1" applyAlignment="1">
      <alignment horizontal="center" vertical="center"/>
    </xf>
    <xf numFmtId="0" fontId="46" fillId="0" borderId="0" xfId="33" applyFont="1" applyAlignment="1">
      <alignment horizontal="center" vertical="center"/>
    </xf>
    <xf numFmtId="0" fontId="49" fillId="0" borderId="0" xfId="33" applyFont="1" applyAlignment="1">
      <alignment horizontal="center" vertical="center"/>
    </xf>
    <xf numFmtId="0" fontId="47" fillId="13" borderId="0" xfId="33" applyFont="1" applyFill="1" applyAlignment="1">
      <alignment horizontal="center" wrapText="1"/>
    </xf>
    <xf numFmtId="0" fontId="47" fillId="13" borderId="0" xfId="33" applyFont="1" applyFill="1" applyAlignment="1">
      <alignment horizontal="center"/>
    </xf>
    <xf numFmtId="0" fontId="27" fillId="0" borderId="33" xfId="33" applyFont="1" applyBorder="1" applyAlignment="1">
      <alignment horizontal="center" vertical="center" wrapText="1"/>
    </xf>
    <xf numFmtId="0" fontId="27" fillId="0" borderId="38" xfId="33" applyFont="1" applyBorder="1" applyAlignment="1">
      <alignment horizontal="center" vertical="center" wrapText="1"/>
    </xf>
    <xf numFmtId="0" fontId="27" fillId="0" borderId="54" xfId="33" applyFont="1" applyBorder="1" applyAlignment="1">
      <alignment horizontal="center" vertical="center" wrapText="1"/>
    </xf>
    <xf numFmtId="0" fontId="27" fillId="0" borderId="33" xfId="33" applyFont="1" applyBorder="1" applyAlignment="1">
      <alignment horizontal="center" vertical="center"/>
    </xf>
    <xf numFmtId="0" fontId="27" fillId="0" borderId="38" xfId="33" applyFont="1" applyBorder="1" applyAlignment="1">
      <alignment horizontal="center" vertical="center"/>
    </xf>
    <xf numFmtId="0" fontId="27" fillId="0" borderId="54" xfId="33" applyFont="1" applyBorder="1" applyAlignment="1">
      <alignment horizontal="center" vertical="center"/>
    </xf>
    <xf numFmtId="0" fontId="32" fillId="0" borderId="40" xfId="33" applyFont="1" applyBorder="1" applyAlignment="1">
      <alignment horizontal="left" vertical="center" wrapText="1"/>
    </xf>
    <xf numFmtId="0" fontId="32" fillId="0" borderId="41" xfId="33" applyFont="1" applyBorder="1" applyAlignment="1">
      <alignment horizontal="left" vertical="center" wrapText="1"/>
    </xf>
    <xf numFmtId="0" fontId="32" fillId="0" borderId="42" xfId="33" applyFont="1" applyBorder="1" applyAlignment="1">
      <alignment horizontal="left" vertical="center" wrapText="1"/>
    </xf>
    <xf numFmtId="0" fontId="32" fillId="0" borderId="46" xfId="33" applyFont="1" applyBorder="1" applyAlignment="1">
      <alignment horizontal="left" vertical="center" wrapText="1"/>
    </xf>
    <xf numFmtId="0" fontId="32" fillId="0" borderId="47" xfId="33" applyFont="1" applyBorder="1" applyAlignment="1">
      <alignment horizontal="left" vertical="center" wrapText="1"/>
    </xf>
    <xf numFmtId="0" fontId="32" fillId="0" borderId="48" xfId="33" applyFont="1" applyBorder="1" applyAlignment="1">
      <alignment horizontal="left" vertical="center" wrapText="1"/>
    </xf>
  </cellXfs>
  <cellStyles count="36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chiffre" xfId="7" xr:uid="{00000000-0005-0000-0000-000006000000}"/>
    <cellStyle name="Comma" xfId="34" builtinId="3"/>
    <cellStyle name="Comma 2" xfId="8" xr:uid="{00000000-0005-0000-0000-000007000000}"/>
    <cellStyle name="Currency 2" xfId="9" xr:uid="{00000000-0005-0000-0000-000008000000}"/>
    <cellStyle name="Currency 3" xfId="32" xr:uid="{04FBE9A4-133E-4646-A813-A0B3CDB1BD60}"/>
    <cellStyle name="Donnée gauche" xfId="10" xr:uid="{00000000-0005-0000-0000-000009000000}"/>
    <cellStyle name="Egress" xfId="11" xr:uid="{00000000-0005-0000-0000-00000A000000}"/>
    <cellStyle name="encadre" xfId="12" xr:uid="{00000000-0005-0000-0000-00000B000000}"/>
    <cellStyle name="Entête [hFB]" xfId="13" xr:uid="{00000000-0005-0000-0000-00000C000000}"/>
    <cellStyle name="Entête condensé [hFCB]" xfId="14" xr:uid="{00000000-0005-0000-0000-00000D000000}"/>
    <cellStyle name="Entête extra condensé [hFUCB]" xfId="15" xr:uid="{00000000-0005-0000-0000-00000E000000}"/>
    <cellStyle name="Entête ultra condensé [hFMCB]" xfId="16" xr:uid="{00000000-0005-0000-0000-00000F000000}"/>
    <cellStyle name="Monétaire 2" xfId="29" xr:uid="{00000000-0005-0000-0000-000010000000}"/>
    <cellStyle name="Non d‚fini" xfId="17" xr:uid="{00000000-0005-0000-0000-000011000000}"/>
    <cellStyle name="Normal" xfId="0" builtinId="0"/>
    <cellStyle name="Normal 2" xfId="18" xr:uid="{00000000-0005-0000-0000-000013000000}"/>
    <cellStyle name="Normal 2 3" xfId="33" xr:uid="{1F73556F-3985-4A64-9A5F-FD1093182253}"/>
    <cellStyle name="Normal 3" xfId="28" xr:uid="{00000000-0005-0000-0000-000014000000}"/>
    <cellStyle name="Normal 4" xfId="31" xr:uid="{2240EC14-F305-494F-AC1A-85932465B71C}"/>
    <cellStyle name="Normal 5" xfId="35" xr:uid="{2473B7DC-B941-4D77-91D9-D766472E7A08}"/>
    <cellStyle name="Nouveau groupe [gFB]" xfId="19" xr:uid="{00000000-0005-0000-0000-000015000000}"/>
    <cellStyle name="page" xfId="20" xr:uid="{00000000-0005-0000-0000-000016000000}"/>
    <cellStyle name="Percent" xfId="30" builtinId="5"/>
    <cellStyle name="texte" xfId="21" xr:uid="{00000000-0005-0000-0000-000017000000}"/>
    <cellStyle name="titre_trame" xfId="22" xr:uid="{00000000-0005-0000-0000-000018000000}"/>
    <cellStyle name="titre1" xfId="23" xr:uid="{00000000-0005-0000-0000-000019000000}"/>
    <cellStyle name="titre2" xfId="24" xr:uid="{00000000-0005-0000-0000-00001A000000}"/>
    <cellStyle name="titre3" xfId="25" xr:uid="{00000000-0005-0000-0000-00001B000000}"/>
    <cellStyle name="titre4_1" xfId="26" xr:uid="{00000000-0005-0000-0000-00001C000000}"/>
    <cellStyle name="Total" xfId="27" builtinId="25" customBuiltin="1"/>
  </cellStyles>
  <dxfs count="0"/>
  <tableStyles count="1" defaultTableStyle="TableStyleMedium2" defaultPivotStyle="PivotStyleLight16">
    <tableStyle name="Invisible" pivot="0" table="0" count="0" xr9:uid="{D713D0B3-D015-444D-95E7-040158CA26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7" Type="http://schemas.openxmlformats.org/officeDocument/2006/relationships/image" Target="../media/image1.png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6" Type="http://schemas.openxmlformats.org/officeDocument/2006/relationships/image" Target="../media/image8.png"/><Relationship Id="rId5" Type="http://schemas.openxmlformats.org/officeDocument/2006/relationships/image" Target="../media/image3.emf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7" Type="http://schemas.openxmlformats.org/officeDocument/2006/relationships/image" Target="../media/image1.png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6" Type="http://schemas.openxmlformats.org/officeDocument/2006/relationships/image" Target="../media/image8.png"/><Relationship Id="rId5" Type="http://schemas.openxmlformats.org/officeDocument/2006/relationships/image" Target="../media/image3.emf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7" Type="http://schemas.openxmlformats.org/officeDocument/2006/relationships/image" Target="../media/image1.png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6" Type="http://schemas.openxmlformats.org/officeDocument/2006/relationships/image" Target="../media/image8.png"/><Relationship Id="rId5" Type="http://schemas.openxmlformats.org/officeDocument/2006/relationships/image" Target="../media/image3.emf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3</xdr:col>
      <xdr:colOff>595893</xdr:colOff>
      <xdr:row>2</xdr:row>
      <xdr:rowOff>185216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580888-CE5D-4DCB-A7B4-B4E4BCCA6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100"/>
          <a:ext cx="2843793" cy="5281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33</xdr:col>
      <xdr:colOff>578859</xdr:colOff>
      <xdr:row>21</xdr:row>
      <xdr:rowOff>184324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5C62CC-5246-9414-A884-153DF2A2B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181100"/>
          <a:ext cx="19628859" cy="3378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4</xdr:row>
      <xdr:rowOff>9525</xdr:rowOff>
    </xdr:from>
    <xdr:ext cx="541020" cy="1346200"/>
    <xdr:pic>
      <xdr:nvPicPr>
        <xdr:cNvPr id="6" name="Image 1">
          <a:extLst>
            <a:ext uri="{FF2B5EF4-FFF2-40B4-BE49-F238E27FC236}">
              <a16:creationId xmlns:a16="http://schemas.microsoft.com/office/drawing/2014/main" id="{E5167110-9A84-4F88-9FB5-E06144DC4B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069" y="1116806"/>
          <a:ext cx="541020" cy="134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oneCellAnchor>
  <xdr:twoCellAnchor editAs="oneCell">
    <xdr:from>
      <xdr:col>0</xdr:col>
      <xdr:colOff>38101</xdr:colOff>
      <xdr:row>0</xdr:row>
      <xdr:rowOff>38101</xdr:rowOff>
    </xdr:from>
    <xdr:to>
      <xdr:col>1</xdr:col>
      <xdr:colOff>1190626</xdr:colOff>
      <xdr:row>1</xdr:row>
      <xdr:rowOff>76280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7786BB-C7C0-4827-B0DD-207E6539B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1" y="38101"/>
          <a:ext cx="1854994" cy="34774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38101</xdr:rowOff>
    </xdr:from>
    <xdr:to>
      <xdr:col>2</xdr:col>
      <xdr:colOff>1</xdr:colOff>
      <xdr:row>1</xdr:row>
      <xdr:rowOff>85655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5C0BB3-3CCE-45CA-A490-391096CCF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38101"/>
          <a:ext cx="1905000" cy="3523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105834</xdr:colOff>
      <xdr:row>5</xdr:row>
      <xdr:rowOff>3965</xdr:rowOff>
    </xdr:from>
    <xdr:ext cx="600074" cy="1416627"/>
    <xdr:pic>
      <xdr:nvPicPr>
        <xdr:cNvPr id="14" name="Picture 5" descr="santafee">
          <a:extLst>
            <a:ext uri="{FF2B5EF4-FFF2-40B4-BE49-F238E27FC236}">
              <a16:creationId xmlns:a16="http://schemas.microsoft.com/office/drawing/2014/main" id="{011E00BF-01F3-4507-951F-EAEA26ED12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67" y="1284548"/>
          <a:ext cx="600074" cy="1416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142875</xdr:colOff>
      <xdr:row>5</xdr:row>
      <xdr:rowOff>866</xdr:rowOff>
    </xdr:from>
    <xdr:ext cx="579639" cy="1424247"/>
    <xdr:pic>
      <xdr:nvPicPr>
        <xdr:cNvPr id="15" name="Picture 7" descr="ROCKPORT">
          <a:extLst>
            <a:ext uri="{FF2B5EF4-FFF2-40B4-BE49-F238E27FC236}">
              <a16:creationId xmlns:a16="http://schemas.microsoft.com/office/drawing/2014/main" id="{DA244407-56A3-44EC-9094-C336354802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9208" y="1281449"/>
          <a:ext cx="579639" cy="14242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144779</xdr:colOff>
      <xdr:row>5</xdr:row>
      <xdr:rowOff>24765</xdr:rowOff>
    </xdr:from>
    <xdr:ext cx="550545" cy="1394460"/>
    <xdr:pic>
      <xdr:nvPicPr>
        <xdr:cNvPr id="16" name="Image 2">
          <a:extLst>
            <a:ext uri="{FF2B5EF4-FFF2-40B4-BE49-F238E27FC236}">
              <a16:creationId xmlns:a16="http://schemas.microsoft.com/office/drawing/2014/main" id="{249730F0-BB7C-4CF1-B2BB-2111B625BA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7779" y="1305348"/>
          <a:ext cx="550545" cy="1394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oneCellAnchor>
  <xdr:oneCellAnchor>
    <xdr:from>
      <xdr:col>2</xdr:col>
      <xdr:colOff>171451</xdr:colOff>
      <xdr:row>5</xdr:row>
      <xdr:rowOff>7600</xdr:rowOff>
    </xdr:from>
    <xdr:ext cx="512108" cy="1415191"/>
    <xdr:pic>
      <xdr:nvPicPr>
        <xdr:cNvPr id="19" name="Picture 18">
          <a:extLst>
            <a:ext uri="{FF2B5EF4-FFF2-40B4-BE49-F238E27FC236}">
              <a16:creationId xmlns:a16="http://schemas.microsoft.com/office/drawing/2014/main" id="{B5AECEAC-C4D0-4703-982E-713D28891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284" y="1288183"/>
          <a:ext cx="512108" cy="1415191"/>
        </a:xfrm>
        <a:prstGeom prst="rect">
          <a:avLst/>
        </a:prstGeom>
      </xdr:spPr>
    </xdr:pic>
    <xdr:clientData/>
  </xdr:oneCellAnchor>
  <xdr:oneCellAnchor>
    <xdr:from>
      <xdr:col>7</xdr:col>
      <xdr:colOff>96309</xdr:colOff>
      <xdr:row>5</xdr:row>
      <xdr:rowOff>49741</xdr:rowOff>
    </xdr:from>
    <xdr:ext cx="597958" cy="1369483"/>
    <xdr:pic>
      <xdr:nvPicPr>
        <xdr:cNvPr id="21" name="Image 1">
          <a:extLst>
            <a:ext uri="{FF2B5EF4-FFF2-40B4-BE49-F238E27FC236}">
              <a16:creationId xmlns:a16="http://schemas.microsoft.com/office/drawing/2014/main" id="{65C3C49B-B09E-4569-856D-AA87866727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7559" y="1330324"/>
          <a:ext cx="597958" cy="136948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oneCellAnchor>
  <xdr:oneCellAnchor>
    <xdr:from>
      <xdr:col>3</xdr:col>
      <xdr:colOff>252941</xdr:colOff>
      <xdr:row>5</xdr:row>
      <xdr:rowOff>3177</xdr:rowOff>
    </xdr:from>
    <xdr:ext cx="561975" cy="1433512"/>
    <xdr:pic>
      <xdr:nvPicPr>
        <xdr:cNvPr id="22" name="Picture 21">
          <a:extLst>
            <a:ext uri="{FF2B5EF4-FFF2-40B4-BE49-F238E27FC236}">
              <a16:creationId xmlns:a16="http://schemas.microsoft.com/office/drawing/2014/main" id="{C9CDBF30-6C37-4747-9A85-9EA773EDD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0524" y="1283760"/>
          <a:ext cx="561975" cy="1433512"/>
        </a:xfrm>
        <a:prstGeom prst="rect">
          <a:avLst/>
        </a:prstGeom>
      </xdr:spPr>
    </xdr:pic>
    <xdr:clientData/>
  </xdr:oneCellAnchor>
  <xdr:twoCellAnchor editAs="oneCell">
    <xdr:from>
      <xdr:col>0</xdr:col>
      <xdr:colOff>28576</xdr:colOff>
      <xdr:row>0</xdr:row>
      <xdr:rowOff>28575</xdr:rowOff>
    </xdr:from>
    <xdr:to>
      <xdr:col>3</xdr:col>
      <xdr:colOff>582084</xdr:colOff>
      <xdr:row>1</xdr:row>
      <xdr:rowOff>88368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11BA12A-12E6-4210-9988-C92373895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6" y="28575"/>
          <a:ext cx="1961091" cy="3667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123826</xdr:colOff>
      <xdr:row>5</xdr:row>
      <xdr:rowOff>14548</xdr:rowOff>
    </xdr:from>
    <xdr:ext cx="600074" cy="1390169"/>
    <xdr:pic>
      <xdr:nvPicPr>
        <xdr:cNvPr id="24" name="Picture 5" descr="santafee">
          <a:extLst>
            <a:ext uri="{FF2B5EF4-FFF2-40B4-BE49-F238E27FC236}">
              <a16:creationId xmlns:a16="http://schemas.microsoft.com/office/drawing/2014/main" id="{E2B3D6C3-950D-425D-B071-233029F68F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7659" y="1295131"/>
          <a:ext cx="600074" cy="1390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174625</xdr:colOff>
      <xdr:row>5</xdr:row>
      <xdr:rowOff>32616</xdr:rowOff>
    </xdr:from>
    <xdr:ext cx="579639" cy="1397789"/>
    <xdr:pic>
      <xdr:nvPicPr>
        <xdr:cNvPr id="25" name="Picture 7" descr="ROCKPORT">
          <a:extLst>
            <a:ext uri="{FF2B5EF4-FFF2-40B4-BE49-F238E27FC236}">
              <a16:creationId xmlns:a16="http://schemas.microsoft.com/office/drawing/2014/main" id="{EB08457E-1F17-46EE-9290-00933F4DDC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5708" y="1313199"/>
          <a:ext cx="579639" cy="1397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169120</xdr:colOff>
      <xdr:row>5</xdr:row>
      <xdr:rowOff>44873</xdr:rowOff>
    </xdr:from>
    <xdr:ext cx="550545" cy="1368002"/>
    <xdr:pic>
      <xdr:nvPicPr>
        <xdr:cNvPr id="26" name="Image 2">
          <a:extLst>
            <a:ext uri="{FF2B5EF4-FFF2-40B4-BE49-F238E27FC236}">
              <a16:creationId xmlns:a16="http://schemas.microsoft.com/office/drawing/2014/main" id="{BE176157-0CC8-416E-8A1F-E8DBE494BBC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5703" y="1325456"/>
          <a:ext cx="550545" cy="13680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oneCellAnchor>
  <xdr:oneCellAnchor>
    <xdr:from>
      <xdr:col>2</xdr:col>
      <xdr:colOff>286808</xdr:colOff>
      <xdr:row>5</xdr:row>
      <xdr:rowOff>38292</xdr:rowOff>
    </xdr:from>
    <xdr:ext cx="512108" cy="1388733"/>
    <xdr:pic>
      <xdr:nvPicPr>
        <xdr:cNvPr id="27" name="Picture 26">
          <a:extLst>
            <a:ext uri="{FF2B5EF4-FFF2-40B4-BE49-F238E27FC236}">
              <a16:creationId xmlns:a16="http://schemas.microsoft.com/office/drawing/2014/main" id="{BF0ABDD2-0A42-4A52-8E38-6E0B30DE1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1308" y="1318875"/>
          <a:ext cx="512108" cy="1388733"/>
        </a:xfrm>
        <a:prstGeom prst="rect">
          <a:avLst/>
        </a:prstGeom>
      </xdr:spPr>
    </xdr:pic>
    <xdr:clientData/>
  </xdr:oneCellAnchor>
  <xdr:oneCellAnchor>
    <xdr:from>
      <xdr:col>7</xdr:col>
      <xdr:colOff>127000</xdr:colOff>
      <xdr:row>5</xdr:row>
      <xdr:rowOff>48683</xdr:rowOff>
    </xdr:from>
    <xdr:ext cx="597958" cy="1369483"/>
    <xdr:pic>
      <xdr:nvPicPr>
        <xdr:cNvPr id="29" name="Image 1">
          <a:extLst>
            <a:ext uri="{FF2B5EF4-FFF2-40B4-BE49-F238E27FC236}">
              <a16:creationId xmlns:a16="http://schemas.microsoft.com/office/drawing/2014/main" id="{55739C85-72D2-42F1-AD1D-DEBB5A78C0A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5333" y="1329266"/>
          <a:ext cx="597958" cy="136948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oneCellAnchor>
  <xdr:oneCellAnchor>
    <xdr:from>
      <xdr:col>3</xdr:col>
      <xdr:colOff>155576</xdr:colOff>
      <xdr:row>5</xdr:row>
      <xdr:rowOff>21167</xdr:rowOff>
    </xdr:from>
    <xdr:ext cx="561975" cy="1395942"/>
    <xdr:pic>
      <xdr:nvPicPr>
        <xdr:cNvPr id="30" name="Picture 29">
          <a:extLst>
            <a:ext uri="{FF2B5EF4-FFF2-40B4-BE49-F238E27FC236}">
              <a16:creationId xmlns:a16="http://schemas.microsoft.com/office/drawing/2014/main" id="{D5B3627F-F097-4AC9-932D-2F0803ADF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64909" y="1301750"/>
          <a:ext cx="561975" cy="1395942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0</xdr:row>
      <xdr:rowOff>47625</xdr:rowOff>
    </xdr:from>
    <xdr:to>
      <xdr:col>3</xdr:col>
      <xdr:colOff>285750</xdr:colOff>
      <xdr:row>1</xdr:row>
      <xdr:rowOff>153366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D5CB4E-39D9-4A42-9FC1-BA31C0510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47625"/>
          <a:ext cx="2216150" cy="4126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152401</xdr:colOff>
      <xdr:row>5</xdr:row>
      <xdr:rowOff>24073</xdr:rowOff>
    </xdr:from>
    <xdr:ext cx="600074" cy="1390169"/>
    <xdr:pic>
      <xdr:nvPicPr>
        <xdr:cNvPr id="24" name="Picture 5" descr="santafee">
          <a:extLst>
            <a:ext uri="{FF2B5EF4-FFF2-40B4-BE49-F238E27FC236}">
              <a16:creationId xmlns:a16="http://schemas.microsoft.com/office/drawing/2014/main" id="{E34AFE2F-AAAC-46DF-AE64-FD3763EC211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1" y="1304656"/>
          <a:ext cx="600074" cy="1390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129117</xdr:colOff>
      <xdr:row>5</xdr:row>
      <xdr:rowOff>20974</xdr:rowOff>
    </xdr:from>
    <xdr:ext cx="579639" cy="1397789"/>
    <xdr:pic>
      <xdr:nvPicPr>
        <xdr:cNvPr id="25" name="Picture 7" descr="ROCKPORT">
          <a:extLst>
            <a:ext uri="{FF2B5EF4-FFF2-40B4-BE49-F238E27FC236}">
              <a16:creationId xmlns:a16="http://schemas.microsoft.com/office/drawing/2014/main" id="{DF1ED6EF-7123-46C7-8C48-EDE976D679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9867" y="1301557"/>
          <a:ext cx="579639" cy="1397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165945</xdr:colOff>
      <xdr:row>5</xdr:row>
      <xdr:rowOff>43815</xdr:rowOff>
    </xdr:from>
    <xdr:ext cx="550545" cy="1368002"/>
    <xdr:pic>
      <xdr:nvPicPr>
        <xdr:cNvPr id="26" name="Image 2">
          <a:extLst>
            <a:ext uri="{FF2B5EF4-FFF2-40B4-BE49-F238E27FC236}">
              <a16:creationId xmlns:a16="http://schemas.microsoft.com/office/drawing/2014/main" id="{944BAB36-9016-49B3-817F-737E7B59F0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9862" y="1324398"/>
          <a:ext cx="550545" cy="13680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oneCellAnchor>
  <xdr:oneCellAnchor>
    <xdr:from>
      <xdr:col>2</xdr:col>
      <xdr:colOff>146050</xdr:colOff>
      <xdr:row>5</xdr:row>
      <xdr:rowOff>37233</xdr:rowOff>
    </xdr:from>
    <xdr:ext cx="512108" cy="1385558"/>
    <xdr:pic>
      <xdr:nvPicPr>
        <xdr:cNvPr id="27" name="Picture 26">
          <a:extLst>
            <a:ext uri="{FF2B5EF4-FFF2-40B4-BE49-F238E27FC236}">
              <a16:creationId xmlns:a16="http://schemas.microsoft.com/office/drawing/2014/main" id="{B245EAB8-6E1F-49F5-AFE1-85CEE3E33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4883" y="1317816"/>
          <a:ext cx="512108" cy="1385558"/>
        </a:xfrm>
        <a:prstGeom prst="rect">
          <a:avLst/>
        </a:prstGeom>
      </xdr:spPr>
    </xdr:pic>
    <xdr:clientData/>
  </xdr:oneCellAnchor>
  <xdr:oneCellAnchor>
    <xdr:from>
      <xdr:col>7</xdr:col>
      <xdr:colOff>113243</xdr:colOff>
      <xdr:row>5</xdr:row>
      <xdr:rowOff>47625</xdr:rowOff>
    </xdr:from>
    <xdr:ext cx="597958" cy="1369483"/>
    <xdr:pic>
      <xdr:nvPicPr>
        <xdr:cNvPr id="29" name="Image 1">
          <a:extLst>
            <a:ext uri="{FF2B5EF4-FFF2-40B4-BE49-F238E27FC236}">
              <a16:creationId xmlns:a16="http://schemas.microsoft.com/office/drawing/2014/main" id="{99E06650-A27A-40A8-961D-3B65582CD7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9493" y="1328208"/>
          <a:ext cx="597958" cy="136948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oneCellAnchor>
  <xdr:oneCellAnchor>
    <xdr:from>
      <xdr:col>3</xdr:col>
      <xdr:colOff>237066</xdr:colOff>
      <xdr:row>5</xdr:row>
      <xdr:rowOff>27517</xdr:rowOff>
    </xdr:from>
    <xdr:ext cx="561975" cy="1399117"/>
    <xdr:pic>
      <xdr:nvPicPr>
        <xdr:cNvPr id="30" name="Picture 29">
          <a:extLst>
            <a:ext uri="{FF2B5EF4-FFF2-40B4-BE49-F238E27FC236}">
              <a16:creationId xmlns:a16="http://schemas.microsoft.com/office/drawing/2014/main" id="{0EA9A3AA-2F4C-4C90-98F1-B6D3344D6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79649" y="1308100"/>
          <a:ext cx="561975" cy="1399117"/>
        </a:xfrm>
        <a:prstGeom prst="rect">
          <a:avLst/>
        </a:prstGeom>
      </xdr:spPr>
    </xdr:pic>
    <xdr:clientData/>
  </xdr:oneCellAnchor>
  <xdr:twoCellAnchor editAs="oneCell">
    <xdr:from>
      <xdr:col>0</xdr:col>
      <xdr:colOff>28576</xdr:colOff>
      <xdr:row>0</xdr:row>
      <xdr:rowOff>47625</xdr:rowOff>
    </xdr:from>
    <xdr:to>
      <xdr:col>3</xdr:col>
      <xdr:colOff>409576</xdr:colOff>
      <xdr:row>1</xdr:row>
      <xdr:rowOff>206269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7E2FCE8-E7BE-4703-8D23-12D294E5A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6" y="47625"/>
          <a:ext cx="2495550" cy="4634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214842</xdr:colOff>
      <xdr:row>4</xdr:row>
      <xdr:rowOff>124211</xdr:rowOff>
    </xdr:from>
    <xdr:ext cx="612173" cy="1405173"/>
    <xdr:pic>
      <xdr:nvPicPr>
        <xdr:cNvPr id="4" name="Picture 3">
          <a:extLst>
            <a:ext uri="{FF2B5EF4-FFF2-40B4-BE49-F238E27FC236}">
              <a16:creationId xmlns:a16="http://schemas.microsoft.com/office/drawing/2014/main" id="{B4D58F59-AD9F-4D1A-822D-8B260CCC0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692" y="1229111"/>
          <a:ext cx="612173" cy="1405173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0</xdr:row>
      <xdr:rowOff>57150</xdr:rowOff>
    </xdr:from>
    <xdr:to>
      <xdr:col>2</xdr:col>
      <xdr:colOff>581025</xdr:colOff>
      <xdr:row>1</xdr:row>
      <xdr:rowOff>171573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7B148C-4FBA-4CB0-98A1-11B60F691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57150"/>
          <a:ext cx="2257425" cy="419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5</xdr:row>
      <xdr:rowOff>7795</xdr:rowOff>
    </xdr:from>
    <xdr:ext cx="612173" cy="1405173"/>
    <xdr:pic>
      <xdr:nvPicPr>
        <xdr:cNvPr id="4" name="Picture 3">
          <a:extLst>
            <a:ext uri="{FF2B5EF4-FFF2-40B4-BE49-F238E27FC236}">
              <a16:creationId xmlns:a16="http://schemas.microsoft.com/office/drawing/2014/main" id="{57DD91BF-2B1F-42E2-AF2C-D12B2CD45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284145"/>
          <a:ext cx="612173" cy="1405173"/>
        </a:xfrm>
        <a:prstGeom prst="rect">
          <a:avLst/>
        </a:prstGeom>
      </xdr:spPr>
    </xdr:pic>
    <xdr:clientData/>
  </xdr:oneCellAnchor>
  <xdr:twoCellAnchor editAs="oneCell">
    <xdr:from>
      <xdr:col>0</xdr:col>
      <xdr:colOff>57150</xdr:colOff>
      <xdr:row>0</xdr:row>
      <xdr:rowOff>76200</xdr:rowOff>
    </xdr:from>
    <xdr:to>
      <xdr:col>2</xdr:col>
      <xdr:colOff>641180</xdr:colOff>
      <xdr:row>1</xdr:row>
      <xdr:rowOff>200025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DCADC9-FCB1-40E4-8D4B-FA6EFBC31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76200"/>
          <a:ext cx="2308055" cy="4286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5</xdr:row>
      <xdr:rowOff>7795</xdr:rowOff>
    </xdr:from>
    <xdr:ext cx="612173" cy="1397765"/>
    <xdr:pic>
      <xdr:nvPicPr>
        <xdr:cNvPr id="4" name="Picture 3">
          <a:extLst>
            <a:ext uri="{FF2B5EF4-FFF2-40B4-BE49-F238E27FC236}">
              <a16:creationId xmlns:a16="http://schemas.microsoft.com/office/drawing/2014/main" id="{F0902C10-52FD-44E6-A92D-553A055D7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284145"/>
          <a:ext cx="612173" cy="1397765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0</xdr:row>
      <xdr:rowOff>38100</xdr:rowOff>
    </xdr:from>
    <xdr:to>
      <xdr:col>2</xdr:col>
      <xdr:colOff>495300</xdr:colOff>
      <xdr:row>1</xdr:row>
      <xdr:rowOff>138372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90118B-2DA9-49CB-AC78-D51979B38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38100"/>
          <a:ext cx="2181225" cy="4050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212215</xdr:colOff>
      <xdr:row>5</xdr:row>
      <xdr:rowOff>6063</xdr:rowOff>
    </xdr:from>
    <xdr:ext cx="620768" cy="1383316"/>
    <xdr:pic>
      <xdr:nvPicPr>
        <xdr:cNvPr id="9" name="Picture 8">
          <a:extLst>
            <a:ext uri="{FF2B5EF4-FFF2-40B4-BE49-F238E27FC236}">
              <a16:creationId xmlns:a16="http://schemas.microsoft.com/office/drawing/2014/main" id="{17A2557B-C1CE-4828-AD4F-98484A1B6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4590" y="1282413"/>
          <a:ext cx="620768" cy="1383316"/>
        </a:xfrm>
        <a:prstGeom prst="rect">
          <a:avLst/>
        </a:prstGeom>
      </xdr:spPr>
    </xdr:pic>
    <xdr:clientData/>
  </xdr:oneCellAnchor>
  <xdr:oneCellAnchor>
    <xdr:from>
      <xdr:col>3</xdr:col>
      <xdr:colOff>161808</xdr:colOff>
      <xdr:row>5</xdr:row>
      <xdr:rowOff>9527</xdr:rowOff>
    </xdr:from>
    <xdr:ext cx="634046" cy="1398443"/>
    <xdr:pic>
      <xdr:nvPicPr>
        <xdr:cNvPr id="15" name="Picture 14">
          <a:extLst>
            <a:ext uri="{FF2B5EF4-FFF2-40B4-BE49-F238E27FC236}">
              <a16:creationId xmlns:a16="http://schemas.microsoft.com/office/drawing/2014/main" id="{8F756977-43E2-4F6A-85E8-DE824112D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5008" y="1285877"/>
          <a:ext cx="634046" cy="1398443"/>
        </a:xfrm>
        <a:prstGeom prst="rect">
          <a:avLst/>
        </a:prstGeom>
      </xdr:spPr>
    </xdr:pic>
    <xdr:clientData/>
  </xdr:oneCellAnchor>
  <xdr:oneCellAnchor>
    <xdr:from>
      <xdr:col>1</xdr:col>
      <xdr:colOff>183190</xdr:colOff>
      <xdr:row>5</xdr:row>
      <xdr:rowOff>9525</xdr:rowOff>
    </xdr:from>
    <xdr:ext cx="634203" cy="1405155"/>
    <xdr:pic>
      <xdr:nvPicPr>
        <xdr:cNvPr id="17" name="Picture 16">
          <a:extLst>
            <a:ext uri="{FF2B5EF4-FFF2-40B4-BE49-F238E27FC236}">
              <a16:creationId xmlns:a16="http://schemas.microsoft.com/office/drawing/2014/main" id="{45EB95D7-51E7-47E7-9E22-30E17BA1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8040" y="1285875"/>
          <a:ext cx="634203" cy="1405155"/>
        </a:xfrm>
        <a:prstGeom prst="rect">
          <a:avLst/>
        </a:prstGeom>
      </xdr:spPr>
    </xdr:pic>
    <xdr:clientData/>
  </xdr:oneCellAnchor>
  <xdr:oneCellAnchor>
    <xdr:from>
      <xdr:col>2</xdr:col>
      <xdr:colOff>171066</xdr:colOff>
      <xdr:row>5</xdr:row>
      <xdr:rowOff>16455</xdr:rowOff>
    </xdr:from>
    <xdr:ext cx="635937" cy="1413415"/>
    <xdr:pic>
      <xdr:nvPicPr>
        <xdr:cNvPr id="18" name="Picture 17">
          <a:extLst>
            <a:ext uri="{FF2B5EF4-FFF2-40B4-BE49-F238E27FC236}">
              <a16:creationId xmlns:a16="http://schemas.microsoft.com/office/drawing/2014/main" id="{E0BED978-454A-4CAB-B77F-F53950E26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5091" y="1292805"/>
          <a:ext cx="635937" cy="1413415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0</xdr:row>
      <xdr:rowOff>57150</xdr:rowOff>
    </xdr:from>
    <xdr:to>
      <xdr:col>2</xdr:col>
      <xdr:colOff>581025</xdr:colOff>
      <xdr:row>1</xdr:row>
      <xdr:rowOff>171573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0581F07-1612-48FE-8429-DC6A18633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" y="57150"/>
          <a:ext cx="2257425" cy="419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250315</xdr:colOff>
      <xdr:row>5</xdr:row>
      <xdr:rowOff>6063</xdr:rowOff>
    </xdr:from>
    <xdr:ext cx="620768" cy="1383316"/>
    <xdr:pic>
      <xdr:nvPicPr>
        <xdr:cNvPr id="9" name="Picture 8">
          <a:extLst>
            <a:ext uri="{FF2B5EF4-FFF2-40B4-BE49-F238E27FC236}">
              <a16:creationId xmlns:a16="http://schemas.microsoft.com/office/drawing/2014/main" id="{4CBB8931-F0A3-477C-ABB6-0973ECB4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2690" y="1282413"/>
          <a:ext cx="620768" cy="1383316"/>
        </a:xfrm>
        <a:prstGeom prst="rect">
          <a:avLst/>
        </a:prstGeom>
      </xdr:spPr>
    </xdr:pic>
    <xdr:clientData/>
  </xdr:oneCellAnchor>
  <xdr:oneCellAnchor>
    <xdr:from>
      <xdr:col>3</xdr:col>
      <xdr:colOff>199908</xdr:colOff>
      <xdr:row>5</xdr:row>
      <xdr:rowOff>9527</xdr:rowOff>
    </xdr:from>
    <xdr:ext cx="634046" cy="1398443"/>
    <xdr:pic>
      <xdr:nvPicPr>
        <xdr:cNvPr id="10" name="Picture 9">
          <a:extLst>
            <a:ext uri="{FF2B5EF4-FFF2-40B4-BE49-F238E27FC236}">
              <a16:creationId xmlns:a16="http://schemas.microsoft.com/office/drawing/2014/main" id="{D6249E04-C6A0-4428-A825-170658BA8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3108" y="1285877"/>
          <a:ext cx="634046" cy="1398443"/>
        </a:xfrm>
        <a:prstGeom prst="rect">
          <a:avLst/>
        </a:prstGeom>
      </xdr:spPr>
    </xdr:pic>
    <xdr:clientData/>
  </xdr:oneCellAnchor>
  <xdr:oneCellAnchor>
    <xdr:from>
      <xdr:col>1</xdr:col>
      <xdr:colOff>221290</xdr:colOff>
      <xdr:row>5</xdr:row>
      <xdr:rowOff>9525</xdr:rowOff>
    </xdr:from>
    <xdr:ext cx="634203" cy="1405155"/>
    <xdr:pic>
      <xdr:nvPicPr>
        <xdr:cNvPr id="12" name="Picture 11">
          <a:extLst>
            <a:ext uri="{FF2B5EF4-FFF2-40B4-BE49-F238E27FC236}">
              <a16:creationId xmlns:a16="http://schemas.microsoft.com/office/drawing/2014/main" id="{B3F44993-8F6B-49F3-8286-239FB9D1E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6140" y="1285875"/>
          <a:ext cx="634203" cy="1405155"/>
        </a:xfrm>
        <a:prstGeom prst="rect">
          <a:avLst/>
        </a:prstGeom>
      </xdr:spPr>
    </xdr:pic>
    <xdr:clientData/>
  </xdr:oneCellAnchor>
  <xdr:oneCellAnchor>
    <xdr:from>
      <xdr:col>2</xdr:col>
      <xdr:colOff>209166</xdr:colOff>
      <xdr:row>5</xdr:row>
      <xdr:rowOff>16455</xdr:rowOff>
    </xdr:from>
    <xdr:ext cx="635937" cy="1413415"/>
    <xdr:pic>
      <xdr:nvPicPr>
        <xdr:cNvPr id="13" name="Picture 12">
          <a:extLst>
            <a:ext uri="{FF2B5EF4-FFF2-40B4-BE49-F238E27FC236}">
              <a16:creationId xmlns:a16="http://schemas.microsoft.com/office/drawing/2014/main" id="{3B607586-B374-4A2E-9D29-995B07A8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33191" y="1292805"/>
          <a:ext cx="635937" cy="1413415"/>
        </a:xfrm>
        <a:prstGeom prst="rect">
          <a:avLst/>
        </a:prstGeom>
      </xdr:spPr>
    </xdr:pic>
    <xdr:clientData/>
  </xdr:oneCellAnchor>
  <xdr:twoCellAnchor editAs="oneCell">
    <xdr:from>
      <xdr:col>0</xdr:col>
      <xdr:colOff>57150</xdr:colOff>
      <xdr:row>0</xdr:row>
      <xdr:rowOff>76201</xdr:rowOff>
    </xdr:from>
    <xdr:to>
      <xdr:col>1</xdr:col>
      <xdr:colOff>804334</xdr:colOff>
      <xdr:row>1</xdr:row>
      <xdr:rowOff>40936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191E2E-64EB-4316-9F74-ACC27B26B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76201"/>
          <a:ext cx="1456267" cy="27165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212215</xdr:colOff>
      <xdr:row>5</xdr:row>
      <xdr:rowOff>25113</xdr:rowOff>
    </xdr:from>
    <xdr:ext cx="620768" cy="1375908"/>
    <xdr:pic>
      <xdr:nvPicPr>
        <xdr:cNvPr id="9" name="Picture 8">
          <a:extLst>
            <a:ext uri="{FF2B5EF4-FFF2-40B4-BE49-F238E27FC236}">
              <a16:creationId xmlns:a16="http://schemas.microsoft.com/office/drawing/2014/main" id="{844E5F38-C544-455D-9F66-85A06BA3A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4590" y="1301463"/>
          <a:ext cx="620768" cy="1375908"/>
        </a:xfrm>
        <a:prstGeom prst="rect">
          <a:avLst/>
        </a:prstGeom>
      </xdr:spPr>
    </xdr:pic>
    <xdr:clientData/>
  </xdr:oneCellAnchor>
  <xdr:oneCellAnchor>
    <xdr:from>
      <xdr:col>3</xdr:col>
      <xdr:colOff>161808</xdr:colOff>
      <xdr:row>5</xdr:row>
      <xdr:rowOff>28577</xdr:rowOff>
    </xdr:from>
    <xdr:ext cx="634046" cy="1391035"/>
    <xdr:pic>
      <xdr:nvPicPr>
        <xdr:cNvPr id="10" name="Picture 9">
          <a:extLst>
            <a:ext uri="{FF2B5EF4-FFF2-40B4-BE49-F238E27FC236}">
              <a16:creationId xmlns:a16="http://schemas.microsoft.com/office/drawing/2014/main" id="{5499284E-26C7-4DEE-97C1-06C89129D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5008" y="1304927"/>
          <a:ext cx="634046" cy="1391035"/>
        </a:xfrm>
        <a:prstGeom prst="rect">
          <a:avLst/>
        </a:prstGeom>
      </xdr:spPr>
    </xdr:pic>
    <xdr:clientData/>
  </xdr:oneCellAnchor>
  <xdr:oneCellAnchor>
    <xdr:from>
      <xdr:col>1</xdr:col>
      <xdr:colOff>183190</xdr:colOff>
      <xdr:row>5</xdr:row>
      <xdr:rowOff>28575</xdr:rowOff>
    </xdr:from>
    <xdr:ext cx="634203" cy="1397747"/>
    <xdr:pic>
      <xdr:nvPicPr>
        <xdr:cNvPr id="12" name="Picture 11">
          <a:extLst>
            <a:ext uri="{FF2B5EF4-FFF2-40B4-BE49-F238E27FC236}">
              <a16:creationId xmlns:a16="http://schemas.microsoft.com/office/drawing/2014/main" id="{C5A8ED1F-0744-43BB-A996-08E1D0F3B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8040" y="1304925"/>
          <a:ext cx="634203" cy="1397747"/>
        </a:xfrm>
        <a:prstGeom prst="rect">
          <a:avLst/>
        </a:prstGeom>
      </xdr:spPr>
    </xdr:pic>
    <xdr:clientData/>
  </xdr:oneCellAnchor>
  <xdr:oneCellAnchor>
    <xdr:from>
      <xdr:col>2</xdr:col>
      <xdr:colOff>171066</xdr:colOff>
      <xdr:row>5</xdr:row>
      <xdr:rowOff>35505</xdr:rowOff>
    </xdr:from>
    <xdr:ext cx="635937" cy="1402832"/>
    <xdr:pic>
      <xdr:nvPicPr>
        <xdr:cNvPr id="13" name="Picture 12">
          <a:extLst>
            <a:ext uri="{FF2B5EF4-FFF2-40B4-BE49-F238E27FC236}">
              <a16:creationId xmlns:a16="http://schemas.microsoft.com/office/drawing/2014/main" id="{DA77C783-EB73-465B-A402-EB524A572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5091" y="1311855"/>
          <a:ext cx="635937" cy="1402832"/>
        </a:xfrm>
        <a:prstGeom prst="rect">
          <a:avLst/>
        </a:prstGeom>
      </xdr:spPr>
    </xdr:pic>
    <xdr:clientData/>
  </xdr:oneCellAnchor>
  <xdr:twoCellAnchor editAs="oneCell">
    <xdr:from>
      <xdr:col>0</xdr:col>
      <xdr:colOff>38101</xdr:colOff>
      <xdr:row>0</xdr:row>
      <xdr:rowOff>38101</xdr:rowOff>
    </xdr:from>
    <xdr:to>
      <xdr:col>2</xdr:col>
      <xdr:colOff>116418</xdr:colOff>
      <xdr:row>1</xdr:row>
      <xdr:rowOff>67678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0A01B46-80FC-450C-8BF9-C8CD5703C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1" y="38101"/>
          <a:ext cx="1803400" cy="3364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4</xdr:row>
      <xdr:rowOff>95250</xdr:rowOff>
    </xdr:from>
    <xdr:ext cx="524301" cy="1260981"/>
    <xdr:pic>
      <xdr:nvPicPr>
        <xdr:cNvPr id="6" name="Picture 5">
          <a:extLst>
            <a:ext uri="{FF2B5EF4-FFF2-40B4-BE49-F238E27FC236}">
              <a16:creationId xmlns:a16="http://schemas.microsoft.com/office/drawing/2014/main" id="{AA84B980-8885-435E-BE4C-9BF99E415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158" y="1206500"/>
          <a:ext cx="524301" cy="1260981"/>
        </a:xfrm>
        <a:prstGeom prst="rect">
          <a:avLst/>
        </a:prstGeom>
      </xdr:spPr>
    </xdr:pic>
    <xdr:clientData/>
  </xdr:oneCellAnchor>
  <xdr:twoCellAnchor editAs="oneCell">
    <xdr:from>
      <xdr:col>0</xdr:col>
      <xdr:colOff>28576</xdr:colOff>
      <xdr:row>0</xdr:row>
      <xdr:rowOff>38100</xdr:rowOff>
    </xdr:from>
    <xdr:to>
      <xdr:col>2</xdr:col>
      <xdr:colOff>127000</xdr:colOff>
      <xdr:row>1</xdr:row>
      <xdr:rowOff>71342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3AB4AD-ADCE-4D58-9DD0-A88C0E90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6" y="38100"/>
          <a:ext cx="1823507" cy="34015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4</xdr:row>
      <xdr:rowOff>95250</xdr:rowOff>
    </xdr:from>
    <xdr:ext cx="524301" cy="1260981"/>
    <xdr:pic>
      <xdr:nvPicPr>
        <xdr:cNvPr id="5" name="Picture 4">
          <a:extLst>
            <a:ext uri="{FF2B5EF4-FFF2-40B4-BE49-F238E27FC236}">
              <a16:creationId xmlns:a16="http://schemas.microsoft.com/office/drawing/2014/main" id="{7E7C4121-6B56-45F4-8156-2703FCDE0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158" y="1206500"/>
          <a:ext cx="524301" cy="1260981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0</xdr:row>
      <xdr:rowOff>47625</xdr:rowOff>
    </xdr:from>
    <xdr:to>
      <xdr:col>2</xdr:col>
      <xdr:colOff>561975</xdr:colOff>
      <xdr:row>1</xdr:row>
      <xdr:rowOff>158510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37864E-A5EA-41F5-AF4F-A712D97F0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47625"/>
          <a:ext cx="2238375" cy="41568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4</xdr:row>
      <xdr:rowOff>95250</xdr:rowOff>
    </xdr:from>
    <xdr:ext cx="524301" cy="1260981"/>
    <xdr:pic>
      <xdr:nvPicPr>
        <xdr:cNvPr id="5" name="Picture 4">
          <a:extLst>
            <a:ext uri="{FF2B5EF4-FFF2-40B4-BE49-F238E27FC236}">
              <a16:creationId xmlns:a16="http://schemas.microsoft.com/office/drawing/2014/main" id="{1AD21698-D47E-4762-871E-BE35220EF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158" y="1206500"/>
          <a:ext cx="524301" cy="1260981"/>
        </a:xfrm>
        <a:prstGeom prst="rect">
          <a:avLst/>
        </a:prstGeom>
      </xdr:spPr>
    </xdr:pic>
    <xdr:clientData/>
  </xdr:oneCellAnchor>
  <xdr:twoCellAnchor editAs="oneCell">
    <xdr:from>
      <xdr:col>0</xdr:col>
      <xdr:colOff>38101</xdr:colOff>
      <xdr:row>0</xdr:row>
      <xdr:rowOff>47625</xdr:rowOff>
    </xdr:from>
    <xdr:to>
      <xdr:col>1</xdr:col>
      <xdr:colOff>973667</xdr:colOff>
      <xdr:row>1</xdr:row>
      <xdr:rowOff>47525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ED0A55-340C-4135-9ABD-30FD4609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1" y="47625"/>
          <a:ext cx="1644649" cy="30681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0</xdr:col>
      <xdr:colOff>2085975</xdr:colOff>
      <xdr:row>2</xdr:row>
      <xdr:rowOff>81495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570045-68A8-4D2A-8C33-BB71A5974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66675"/>
          <a:ext cx="2028825" cy="3767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154781</xdr:colOff>
      <xdr:row>1</xdr:row>
      <xdr:rowOff>1</xdr:rowOff>
    </xdr:from>
    <xdr:to>
      <xdr:col>2</xdr:col>
      <xdr:colOff>197643</xdr:colOff>
      <xdr:row>1</xdr:row>
      <xdr:rowOff>453851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B567EB-6E9C-4CE2-9991-041DB8DB0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" y="161926"/>
          <a:ext cx="2557462" cy="45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169333</xdr:colOff>
      <xdr:row>1</xdr:row>
      <xdr:rowOff>0</xdr:rowOff>
    </xdr:from>
    <xdr:to>
      <xdr:col>5</xdr:col>
      <xdr:colOff>194027</xdr:colOff>
      <xdr:row>1</xdr:row>
      <xdr:rowOff>493909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919824-6DFC-455C-9134-6A43D4CCC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161925"/>
          <a:ext cx="2758369" cy="4939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8:I47"/>
  <sheetViews>
    <sheetView tabSelected="1" view="pageBreakPreview" zoomScaleNormal="100" zoomScaleSheetLayoutView="100" workbookViewId="0">
      <selection activeCell="I7" sqref="I7"/>
    </sheetView>
  </sheetViews>
  <sheetFormatPr defaultRowHeight="15.5"/>
  <sheetData>
    <row r="18" spans="1:9" ht="34.9" customHeight="1">
      <c r="A18" s="244" t="s">
        <v>0</v>
      </c>
      <c r="B18" s="244"/>
      <c r="C18" s="244"/>
      <c r="D18" s="244"/>
      <c r="E18" s="244"/>
      <c r="F18" s="244"/>
      <c r="G18" s="244"/>
      <c r="H18" s="22"/>
      <c r="I18" s="22"/>
    </row>
    <row r="20" spans="1:9">
      <c r="A20" s="245" t="s">
        <v>134</v>
      </c>
      <c r="B20" s="245"/>
      <c r="C20" s="245"/>
      <c r="D20" s="245"/>
      <c r="E20" s="245"/>
      <c r="F20" s="245"/>
      <c r="G20" s="245"/>
    </row>
    <row r="26" spans="1:9" ht="15" customHeight="1">
      <c r="B26" s="246" t="s">
        <v>1</v>
      </c>
      <c r="C26" s="246"/>
      <c r="D26" s="246"/>
      <c r="E26" s="246"/>
      <c r="F26" s="246"/>
      <c r="G26" s="23"/>
      <c r="H26" s="23"/>
      <c r="I26" s="23"/>
    </row>
    <row r="27" spans="1:9" ht="15" customHeight="1">
      <c r="B27" s="246"/>
      <c r="C27" s="246"/>
      <c r="D27" s="246"/>
      <c r="E27" s="246"/>
      <c r="F27" s="246"/>
      <c r="G27" s="23"/>
      <c r="H27" s="23"/>
      <c r="I27" s="23"/>
    </row>
    <row r="28" spans="1:9" ht="15" customHeight="1">
      <c r="B28" s="246"/>
      <c r="C28" s="246"/>
      <c r="D28" s="246"/>
      <c r="E28" s="246"/>
      <c r="F28" s="246"/>
      <c r="G28" s="23"/>
      <c r="H28" s="23"/>
      <c r="I28" s="23"/>
    </row>
    <row r="29" spans="1:9" ht="15" customHeight="1">
      <c r="B29" s="246"/>
      <c r="C29" s="246"/>
      <c r="D29" s="246"/>
      <c r="E29" s="246"/>
      <c r="F29" s="246"/>
      <c r="G29" s="23"/>
      <c r="H29" s="23"/>
      <c r="I29" s="23"/>
    </row>
    <row r="30" spans="1:9" ht="15" customHeight="1">
      <c r="B30" s="246"/>
      <c r="C30" s="246"/>
      <c r="D30" s="246"/>
      <c r="E30" s="246"/>
      <c r="F30" s="246"/>
      <c r="G30" s="23"/>
      <c r="H30" s="23"/>
      <c r="I30" s="23"/>
    </row>
    <row r="31" spans="1:9" ht="15" customHeight="1">
      <c r="B31" s="246"/>
      <c r="C31" s="246"/>
      <c r="D31" s="246"/>
      <c r="E31" s="246"/>
      <c r="F31" s="246"/>
      <c r="G31" s="23"/>
      <c r="H31" s="23"/>
      <c r="I31" s="23"/>
    </row>
    <row r="32" spans="1:9" ht="15" customHeight="1">
      <c r="B32" s="246"/>
      <c r="C32" s="246"/>
      <c r="D32" s="246"/>
      <c r="E32" s="246"/>
      <c r="F32" s="246"/>
      <c r="G32" s="23"/>
      <c r="H32" s="23"/>
      <c r="I32" s="23"/>
    </row>
    <row r="33" spans="1:9" ht="15" customHeight="1">
      <c r="D33" s="23"/>
      <c r="E33" s="23"/>
      <c r="F33" s="23"/>
      <c r="G33" s="23"/>
      <c r="H33" s="23"/>
      <c r="I33" s="23"/>
    </row>
    <row r="43" spans="1:9">
      <c r="B43" s="84"/>
    </row>
    <row r="45" spans="1:9">
      <c r="A45" s="27"/>
      <c r="B45" s="85"/>
    </row>
    <row r="46" spans="1:9">
      <c r="A46" s="27"/>
    </row>
    <row r="47" spans="1:9">
      <c r="A47" s="28"/>
    </row>
  </sheetData>
  <mergeCells count="3">
    <mergeCell ref="A18:G18"/>
    <mergeCell ref="A20:G20"/>
    <mergeCell ref="B26:F32"/>
  </mergeCells>
  <printOptions horizontalCentered="1"/>
  <pageMargins left="0.196850393700787" right="0.196850393700787" top="0.39370078740157499" bottom="0.59055118110236204" header="0" footer="0.196850393700787"/>
  <pageSetup orientation="portrait" r:id="rId1"/>
  <headerFooter alignWithMargins="0">
    <oddFooter>&amp;L&amp;P
&amp;RMay 4, 2025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8EB2-DCD4-4771-86F4-6A0F9553BD89}">
  <sheetPr transitionEvaluation="1">
    <tabColor theme="9" tint="0.59999389629810485"/>
    <pageSetUpPr fitToPage="1"/>
  </sheetPr>
  <dimension ref="A1:GJ40"/>
  <sheetViews>
    <sheetView defaultGridColor="0" view="pageBreakPreview" colorId="22" zoomScale="80" zoomScaleNormal="110" zoomScaleSheetLayoutView="80" workbookViewId="0">
      <selection activeCell="A5" sqref="A5:A11"/>
    </sheetView>
  </sheetViews>
  <sheetFormatPr defaultColWidth="9" defaultRowHeight="15.5"/>
  <cols>
    <col min="1" max="1" width="8.23046875" style="109" customWidth="1"/>
    <col min="2" max="2" width="14" style="108" customWidth="1"/>
    <col min="3" max="3" width="12.4609375" style="108" customWidth="1"/>
    <col min="4" max="4" width="12.07421875" style="108" customWidth="1"/>
    <col min="5" max="7" width="15.4609375" style="108" customWidth="1"/>
    <col min="8" max="8" width="9" style="107"/>
    <col min="9" max="9" width="6.69140625" style="107" bestFit="1" customWidth="1"/>
    <col min="10" max="11" width="7.69140625" style="107" customWidth="1"/>
    <col min="12" max="12" width="7.07421875" style="108" customWidth="1"/>
    <col min="13" max="16384" width="9" style="108"/>
  </cols>
  <sheetData>
    <row r="1" spans="1:192" ht="24" customHeight="1">
      <c r="A1" s="260" t="s">
        <v>2</v>
      </c>
      <c r="B1" s="260"/>
      <c r="C1" s="260"/>
      <c r="D1" s="260"/>
      <c r="E1" s="260"/>
      <c r="F1" s="260"/>
      <c r="G1" s="260"/>
    </row>
    <row r="2" spans="1:192" ht="21.75" customHeight="1">
      <c r="A2" s="261" t="s">
        <v>134</v>
      </c>
      <c r="B2" s="261"/>
      <c r="C2" s="261"/>
      <c r="D2" s="261"/>
      <c r="E2" s="261"/>
      <c r="F2" s="261"/>
      <c r="G2" s="261"/>
    </row>
    <row r="3" spans="1:192" ht="30" customHeight="1">
      <c r="A3" s="262" t="s">
        <v>3</v>
      </c>
      <c r="B3" s="262"/>
      <c r="C3" s="262"/>
      <c r="D3" s="262"/>
      <c r="E3" s="262"/>
      <c r="F3" s="262"/>
      <c r="G3" s="262"/>
    </row>
    <row r="4" spans="1:192" ht="11.25" customHeight="1">
      <c r="B4" s="110"/>
      <c r="C4" s="2"/>
      <c r="D4" s="2"/>
      <c r="E4" s="2"/>
      <c r="F4" s="2"/>
      <c r="G4" s="110"/>
    </row>
    <row r="5" spans="1:192" ht="19.5" customHeight="1">
      <c r="A5" s="263" t="s">
        <v>4</v>
      </c>
      <c r="B5" s="110"/>
      <c r="C5" s="2"/>
      <c r="D5" s="2"/>
      <c r="E5" s="2"/>
      <c r="F5" s="2"/>
      <c r="G5" s="110"/>
    </row>
    <row r="6" spans="1:192" ht="15.75" customHeight="1">
      <c r="A6" s="263"/>
      <c r="B6" s="110"/>
      <c r="C6" s="2"/>
      <c r="D6" s="2"/>
      <c r="E6" s="2"/>
      <c r="F6" s="2"/>
      <c r="G6" s="110"/>
    </row>
    <row r="7" spans="1:192" ht="15.75" customHeight="1">
      <c r="A7" s="263"/>
      <c r="B7" s="110"/>
      <c r="C7" s="2"/>
      <c r="D7" s="2"/>
      <c r="E7" s="2"/>
      <c r="F7" s="2"/>
      <c r="G7" s="110"/>
    </row>
    <row r="8" spans="1:192" ht="20.25" customHeight="1">
      <c r="A8" s="263"/>
      <c r="B8" s="110"/>
      <c r="C8" s="2"/>
      <c r="D8" s="2"/>
      <c r="E8" s="2"/>
      <c r="F8" s="2"/>
      <c r="G8" s="110"/>
    </row>
    <row r="9" spans="1:192" ht="20.25" customHeight="1">
      <c r="A9" s="263"/>
      <c r="B9" s="110"/>
      <c r="C9" s="2"/>
      <c r="D9" s="2"/>
      <c r="E9" s="2"/>
      <c r="F9" s="2"/>
      <c r="G9" s="110"/>
    </row>
    <row r="10" spans="1:192" ht="9" customHeight="1">
      <c r="A10" s="263"/>
      <c r="B10" s="110"/>
      <c r="C10" s="2"/>
      <c r="D10" s="2"/>
      <c r="E10" s="2"/>
      <c r="F10" s="2"/>
      <c r="G10" s="110"/>
    </row>
    <row r="11" spans="1:192" ht="15.75" customHeight="1" thickBot="1">
      <c r="A11" s="263"/>
      <c r="B11" s="110"/>
      <c r="C11" s="2"/>
      <c r="D11" s="2"/>
      <c r="E11" s="2"/>
      <c r="F11" s="2"/>
      <c r="G11" s="110"/>
    </row>
    <row r="12" spans="1:192" ht="33" customHeight="1" thickTop="1" thickBot="1">
      <c r="B12" s="14" t="s">
        <v>5</v>
      </c>
      <c r="C12" s="33"/>
      <c r="D12" s="32"/>
      <c r="E12" s="8"/>
      <c r="F12" s="9"/>
      <c r="G12" s="10"/>
    </row>
    <row r="13" spans="1:192" ht="16.5" thickTop="1" thickBot="1">
      <c r="A13" s="21" t="s">
        <v>6</v>
      </c>
      <c r="B13" s="19" t="s">
        <v>7</v>
      </c>
      <c r="C13" s="24"/>
      <c r="D13" s="13"/>
      <c r="E13" s="8"/>
      <c r="F13" s="9"/>
      <c r="G13" s="10"/>
    </row>
    <row r="14" spans="1:192" ht="16.5" thickTop="1" thickBot="1">
      <c r="A14" s="21" t="s">
        <v>8</v>
      </c>
      <c r="B14" s="19" t="s">
        <v>7</v>
      </c>
      <c r="C14" s="24"/>
      <c r="D14" s="13"/>
      <c r="E14" s="8"/>
      <c r="F14" s="9"/>
      <c r="G14" s="10"/>
    </row>
    <row r="15" spans="1:192" ht="13.5" customHeight="1" thickTop="1" thickBot="1">
      <c r="B15" s="10"/>
      <c r="C15" s="10"/>
      <c r="D15" s="10"/>
      <c r="E15" s="10"/>
      <c r="F15" s="10"/>
      <c r="G15" s="11"/>
    </row>
    <row r="16" spans="1:192" ht="36" customHeight="1" thickTop="1" thickBot="1">
      <c r="A16" s="264" t="s">
        <v>9</v>
      </c>
      <c r="B16" s="265"/>
      <c r="C16" s="265"/>
      <c r="D16" s="266"/>
      <c r="E16" s="126" t="s">
        <v>10</v>
      </c>
      <c r="F16" s="125"/>
      <c r="G16" s="129"/>
      <c r="H16" s="142"/>
      <c r="I16" s="111"/>
      <c r="J16" s="111"/>
      <c r="K16" s="111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</row>
    <row r="17" spans="1:192" ht="30" customHeight="1" thickTop="1" thickBot="1">
      <c r="A17" s="256" t="s">
        <v>11</v>
      </c>
      <c r="B17" s="256"/>
      <c r="C17" s="256"/>
      <c r="D17" s="256"/>
      <c r="E17" s="256"/>
      <c r="F17" s="256"/>
      <c r="G17" s="256"/>
      <c r="H17"/>
      <c r="I17"/>
      <c r="J17"/>
      <c r="K17" s="111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</row>
    <row r="18" spans="1:192">
      <c r="A18" s="257" t="s">
        <v>12</v>
      </c>
      <c r="B18" s="258"/>
      <c r="C18" s="259" t="s">
        <v>13</v>
      </c>
      <c r="D18" s="259"/>
      <c r="E18" s="78">
        <v>59.693877551020407</v>
      </c>
      <c r="F18" s="83"/>
      <c r="G18" s="81"/>
      <c r="H18"/>
      <c r="I18"/>
      <c r="J18"/>
      <c r="K18" s="112"/>
      <c r="L18" s="112"/>
      <c r="M18" s="113"/>
      <c r="N18" s="113"/>
      <c r="O18" s="113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</row>
    <row r="19" spans="1:192">
      <c r="A19" s="251" t="s">
        <v>14</v>
      </c>
      <c r="B19" s="252"/>
      <c r="C19" s="253" t="s">
        <v>15</v>
      </c>
      <c r="D19" s="253"/>
      <c r="E19" s="79">
        <v>59.693877551020407</v>
      </c>
      <c r="F19" s="81"/>
      <c r="G19" s="81"/>
      <c r="H19"/>
      <c r="I19"/>
      <c r="J19"/>
      <c r="K19" s="112"/>
      <c r="L19" s="112"/>
      <c r="M19" s="113"/>
      <c r="N19" s="113"/>
      <c r="O19" s="113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</row>
    <row r="20" spans="1:192">
      <c r="A20" s="251" t="s">
        <v>16</v>
      </c>
      <c r="B20" s="252"/>
      <c r="C20" s="253" t="s">
        <v>17</v>
      </c>
      <c r="D20" s="253"/>
      <c r="E20" s="79">
        <v>59.693877551020407</v>
      </c>
      <c r="F20" s="81"/>
      <c r="G20" s="81"/>
      <c r="H20"/>
      <c r="I20"/>
      <c r="J20"/>
      <c r="K20" s="112"/>
      <c r="L20" s="112"/>
      <c r="M20" s="113"/>
      <c r="N20" s="113"/>
      <c r="O20" s="113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</row>
    <row r="21" spans="1:192">
      <c r="A21" s="251" t="s">
        <v>18</v>
      </c>
      <c r="B21" s="252"/>
      <c r="C21" s="253" t="s">
        <v>19</v>
      </c>
      <c r="D21" s="253"/>
      <c r="E21" s="79">
        <v>59.693877551020407</v>
      </c>
      <c r="F21" s="81"/>
      <c r="G21" s="81"/>
      <c r="H21"/>
      <c r="I21"/>
      <c r="J21"/>
      <c r="K21" s="112"/>
      <c r="L21" s="112"/>
      <c r="M21" s="113"/>
      <c r="N21" s="113"/>
      <c r="O21" s="113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</row>
    <row r="22" spans="1:192">
      <c r="A22" s="251" t="s">
        <v>20</v>
      </c>
      <c r="B22" s="252"/>
      <c r="C22" s="253" t="s">
        <v>21</v>
      </c>
      <c r="D22" s="253"/>
      <c r="E22" s="79">
        <v>63.010204081632651</v>
      </c>
      <c r="F22" s="81"/>
      <c r="G22" s="81"/>
      <c r="H22"/>
      <c r="I22"/>
      <c r="J22"/>
      <c r="K22" s="112"/>
      <c r="L22" s="112"/>
      <c r="M22" s="113"/>
      <c r="N22" s="113"/>
      <c r="O22" s="113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</row>
    <row r="23" spans="1:192">
      <c r="A23" s="251" t="s">
        <v>22</v>
      </c>
      <c r="B23" s="252"/>
      <c r="C23" s="253" t="s">
        <v>23</v>
      </c>
      <c r="D23" s="253"/>
      <c r="E23" s="79">
        <v>63.010204081632651</v>
      </c>
      <c r="F23" s="81"/>
      <c r="G23" s="81"/>
      <c r="H23"/>
      <c r="I23"/>
      <c r="J23"/>
      <c r="K23" s="112"/>
      <c r="L23" s="112"/>
      <c r="M23" s="113"/>
      <c r="N23" s="113"/>
      <c r="O23" s="113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</row>
    <row r="24" spans="1:192">
      <c r="A24" s="251" t="s">
        <v>24</v>
      </c>
      <c r="B24" s="252"/>
      <c r="C24" s="253" t="s">
        <v>25</v>
      </c>
      <c r="D24" s="253"/>
      <c r="E24" s="79">
        <v>63.010204081632651</v>
      </c>
      <c r="F24" s="81"/>
      <c r="G24" s="81"/>
      <c r="H24"/>
      <c r="I24"/>
      <c r="J24"/>
      <c r="K24" s="112"/>
      <c r="L24" s="112"/>
      <c r="M24" s="113"/>
      <c r="N24" s="113"/>
      <c r="O24" s="113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</row>
    <row r="25" spans="1:192" s="115" customFormat="1">
      <c r="A25" s="251" t="s">
        <v>26</v>
      </c>
      <c r="B25" s="252"/>
      <c r="C25" s="253" t="s">
        <v>27</v>
      </c>
      <c r="D25" s="253"/>
      <c r="E25" s="79">
        <v>65.255102040816325</v>
      </c>
      <c r="F25" s="81"/>
      <c r="G25" s="81"/>
      <c r="H25"/>
      <c r="I25"/>
      <c r="J25"/>
      <c r="K25" s="112"/>
      <c r="L25" s="112"/>
      <c r="M25" s="113"/>
      <c r="N25" s="113"/>
      <c r="O25" s="113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O25" s="114"/>
      <c r="BP25" s="114"/>
      <c r="BQ25" s="114"/>
      <c r="BR25" s="114"/>
      <c r="BS25" s="114"/>
      <c r="BT25" s="114"/>
      <c r="BU25" s="114"/>
      <c r="BV25" s="114"/>
      <c r="BW25" s="114"/>
      <c r="BX25" s="114"/>
      <c r="BY25" s="114"/>
      <c r="BZ25" s="114"/>
      <c r="CA25" s="114"/>
      <c r="CB25" s="114"/>
      <c r="CC25" s="114"/>
      <c r="CD25" s="114"/>
      <c r="CE25" s="114"/>
      <c r="CF25" s="114"/>
      <c r="CG25" s="114"/>
      <c r="CH25" s="114"/>
      <c r="CI25" s="114"/>
      <c r="CJ25" s="114"/>
      <c r="CK25" s="114"/>
      <c r="CL25" s="114"/>
      <c r="CM25" s="114"/>
      <c r="CN25" s="114"/>
      <c r="CO25" s="114"/>
      <c r="CP25" s="114"/>
      <c r="CQ25" s="114"/>
      <c r="CR25" s="114"/>
      <c r="CS25" s="114"/>
      <c r="CT25" s="114"/>
      <c r="CU25" s="114"/>
      <c r="CV25" s="114"/>
      <c r="CW25" s="114"/>
      <c r="CX25" s="114"/>
      <c r="CY25" s="114"/>
      <c r="CZ25" s="114"/>
      <c r="DA25" s="114"/>
      <c r="DB25" s="114"/>
      <c r="DC25" s="114"/>
      <c r="DD25" s="114"/>
      <c r="DE25" s="114"/>
      <c r="DF25" s="114"/>
      <c r="DG25" s="114"/>
      <c r="DH25" s="114"/>
      <c r="DI25" s="114"/>
      <c r="DJ25" s="114"/>
      <c r="DK25" s="114"/>
      <c r="DL25" s="114"/>
      <c r="DM25" s="114"/>
      <c r="DN25" s="114"/>
      <c r="DO25" s="114"/>
      <c r="DP25" s="114"/>
      <c r="DQ25" s="114"/>
      <c r="DR25" s="114"/>
      <c r="DS25" s="114"/>
      <c r="DT25" s="114"/>
      <c r="DU25" s="114"/>
      <c r="DV25" s="114"/>
      <c r="DW25" s="114"/>
      <c r="DX25" s="114"/>
      <c r="DY25" s="114"/>
      <c r="DZ25" s="114"/>
      <c r="EA25" s="114"/>
      <c r="EB25" s="114"/>
      <c r="EC25" s="114"/>
      <c r="ED25" s="114"/>
      <c r="EE25" s="114"/>
      <c r="EF25" s="114"/>
      <c r="EG25" s="114"/>
      <c r="EH25" s="114"/>
      <c r="EI25" s="114"/>
      <c r="EJ25" s="114"/>
      <c r="EK25" s="114"/>
      <c r="EL25" s="114"/>
      <c r="EM25" s="114"/>
      <c r="EN25" s="114"/>
      <c r="EO25" s="114"/>
      <c r="EP25" s="114"/>
      <c r="EQ25" s="114"/>
      <c r="ER25" s="114"/>
      <c r="ES25" s="114"/>
      <c r="ET25" s="114"/>
      <c r="EU25" s="114"/>
      <c r="EV25" s="114"/>
      <c r="EW25" s="114"/>
      <c r="EX25" s="114"/>
      <c r="EY25" s="114"/>
      <c r="EZ25" s="114"/>
      <c r="FA25" s="114"/>
      <c r="FB25" s="114"/>
      <c r="FC25" s="114"/>
      <c r="FD25" s="114"/>
      <c r="FE25" s="114"/>
      <c r="FF25" s="114"/>
      <c r="FG25" s="114"/>
      <c r="FH25" s="114"/>
      <c r="FI25" s="114"/>
      <c r="FJ25" s="114"/>
      <c r="FK25" s="114"/>
      <c r="FL25" s="114"/>
      <c r="FM25" s="114"/>
      <c r="FN25" s="114"/>
      <c r="FO25" s="114"/>
      <c r="FP25" s="114"/>
      <c r="FQ25" s="114"/>
      <c r="FR25" s="114"/>
      <c r="FS25" s="114"/>
      <c r="FT25" s="114"/>
      <c r="FU25" s="114"/>
      <c r="FV25" s="114"/>
      <c r="FW25" s="114"/>
      <c r="FX25" s="114"/>
      <c r="FY25" s="114"/>
      <c r="FZ25" s="114"/>
      <c r="GA25" s="114"/>
      <c r="GB25" s="114"/>
      <c r="GC25" s="114"/>
      <c r="GD25" s="114"/>
      <c r="GE25" s="114"/>
      <c r="GF25" s="114"/>
      <c r="GG25" s="114"/>
      <c r="GH25" s="114"/>
      <c r="GI25" s="114"/>
      <c r="GJ25" s="114"/>
    </row>
    <row r="26" spans="1:192" s="115" customFormat="1">
      <c r="A26" s="251" t="s">
        <v>28</v>
      </c>
      <c r="B26" s="252"/>
      <c r="C26" s="253" t="s">
        <v>29</v>
      </c>
      <c r="D26" s="253"/>
      <c r="E26" s="79">
        <v>65.255102040816325</v>
      </c>
      <c r="F26" s="81"/>
      <c r="G26" s="81"/>
      <c r="H26"/>
      <c r="I26"/>
      <c r="J26"/>
      <c r="K26" s="112"/>
      <c r="L26" s="112"/>
      <c r="M26" s="113"/>
      <c r="N26" s="113"/>
      <c r="O26" s="113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  <c r="BM26" s="114"/>
      <c r="BN26" s="114"/>
      <c r="BO26" s="114"/>
      <c r="BP26" s="114"/>
      <c r="BQ26" s="114"/>
      <c r="BR26" s="114"/>
      <c r="BS26" s="114"/>
      <c r="BT26" s="114"/>
      <c r="BU26" s="114"/>
      <c r="BV26" s="114"/>
      <c r="BW26" s="114"/>
      <c r="BX26" s="114"/>
      <c r="BY26" s="114"/>
      <c r="BZ26" s="114"/>
      <c r="CA26" s="114"/>
      <c r="CB26" s="114"/>
      <c r="CC26" s="114"/>
      <c r="CD26" s="114"/>
      <c r="CE26" s="114"/>
      <c r="CF26" s="114"/>
      <c r="CG26" s="114"/>
      <c r="CH26" s="114"/>
      <c r="CI26" s="114"/>
      <c r="CJ26" s="114"/>
      <c r="CK26" s="114"/>
      <c r="CL26" s="114"/>
      <c r="CM26" s="114"/>
      <c r="CN26" s="114"/>
      <c r="CO26" s="114"/>
      <c r="CP26" s="114"/>
      <c r="CQ26" s="114"/>
      <c r="CR26" s="114"/>
      <c r="CS26" s="114"/>
      <c r="CT26" s="114"/>
      <c r="CU26" s="114"/>
      <c r="CV26" s="114"/>
      <c r="CW26" s="114"/>
      <c r="CX26" s="114"/>
      <c r="CY26" s="114"/>
      <c r="CZ26" s="114"/>
      <c r="DA26" s="114"/>
      <c r="DB26" s="114"/>
      <c r="DC26" s="114"/>
      <c r="DD26" s="114"/>
      <c r="DE26" s="114"/>
      <c r="DF26" s="114"/>
      <c r="DG26" s="114"/>
      <c r="DH26" s="114"/>
      <c r="DI26" s="114"/>
      <c r="DJ26" s="114"/>
      <c r="DK26" s="114"/>
      <c r="DL26" s="114"/>
      <c r="DM26" s="114"/>
      <c r="DN26" s="114"/>
      <c r="DO26" s="114"/>
      <c r="DP26" s="114"/>
      <c r="DQ26" s="114"/>
      <c r="DR26" s="114"/>
      <c r="DS26" s="114"/>
      <c r="DT26" s="114"/>
      <c r="DU26" s="114"/>
      <c r="DV26" s="114"/>
      <c r="DW26" s="114"/>
      <c r="DX26" s="114"/>
      <c r="DY26" s="114"/>
      <c r="DZ26" s="114"/>
      <c r="EA26" s="114"/>
      <c r="EB26" s="114"/>
      <c r="EC26" s="114"/>
      <c r="ED26" s="114"/>
      <c r="EE26" s="114"/>
      <c r="EF26" s="114"/>
      <c r="EG26" s="114"/>
      <c r="EH26" s="114"/>
      <c r="EI26" s="114"/>
      <c r="EJ26" s="114"/>
      <c r="EK26" s="114"/>
      <c r="EL26" s="114"/>
      <c r="EM26" s="114"/>
      <c r="EN26" s="114"/>
      <c r="EO26" s="114"/>
      <c r="EP26" s="114"/>
      <c r="EQ26" s="114"/>
      <c r="ER26" s="114"/>
      <c r="ES26" s="114"/>
      <c r="ET26" s="114"/>
      <c r="EU26" s="114"/>
      <c r="EV26" s="114"/>
      <c r="EW26" s="114"/>
      <c r="EX26" s="114"/>
      <c r="EY26" s="114"/>
      <c r="EZ26" s="114"/>
      <c r="FA26" s="114"/>
      <c r="FB26" s="114"/>
      <c r="FC26" s="114"/>
      <c r="FD26" s="114"/>
      <c r="FE26" s="114"/>
      <c r="FF26" s="114"/>
      <c r="FG26" s="114"/>
      <c r="FH26" s="114"/>
      <c r="FI26" s="114"/>
      <c r="FJ26" s="114"/>
      <c r="FK26" s="114"/>
      <c r="FL26" s="114"/>
      <c r="FM26" s="114"/>
      <c r="FN26" s="114"/>
      <c r="FO26" s="114"/>
      <c r="FP26" s="114"/>
      <c r="FQ26" s="114"/>
      <c r="FR26" s="114"/>
      <c r="FS26" s="114"/>
      <c r="FT26" s="114"/>
      <c r="FU26" s="114"/>
      <c r="FV26" s="114"/>
      <c r="FW26" s="114"/>
      <c r="FX26" s="114"/>
      <c r="FY26" s="114"/>
      <c r="FZ26" s="114"/>
      <c r="GA26" s="114"/>
      <c r="GB26" s="114"/>
      <c r="GC26" s="114"/>
      <c r="GD26" s="114"/>
      <c r="GE26" s="114"/>
      <c r="GF26" s="114"/>
      <c r="GG26" s="114"/>
      <c r="GH26" s="114"/>
      <c r="GI26" s="114"/>
      <c r="GJ26" s="114"/>
    </row>
    <row r="27" spans="1:192" ht="15.75" customHeight="1">
      <c r="A27" s="251" t="s">
        <v>30</v>
      </c>
      <c r="B27" s="252"/>
      <c r="C27" s="253" t="s">
        <v>31</v>
      </c>
      <c r="D27" s="253"/>
      <c r="E27" s="79">
        <v>65.255102040816325</v>
      </c>
      <c r="F27" s="81"/>
      <c r="G27" s="81"/>
      <c r="H27"/>
      <c r="I27"/>
      <c r="J27"/>
      <c r="K27" s="112"/>
      <c r="L27" s="112"/>
      <c r="M27" s="113"/>
      <c r="N27" s="113"/>
      <c r="O27" s="113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</row>
    <row r="28" spans="1:192">
      <c r="A28" s="251" t="s">
        <v>32</v>
      </c>
      <c r="B28" s="252"/>
      <c r="C28" s="253" t="s">
        <v>33</v>
      </c>
      <c r="D28" s="253"/>
      <c r="E28" s="79">
        <v>67.602040816326536</v>
      </c>
      <c r="F28" s="81"/>
      <c r="G28" s="81"/>
      <c r="H28"/>
      <c r="I28"/>
      <c r="J28"/>
      <c r="K28" s="112"/>
      <c r="L28" s="112"/>
      <c r="M28" s="113"/>
      <c r="N28" s="113"/>
      <c r="O28" s="113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</row>
    <row r="29" spans="1:192">
      <c r="A29" s="251" t="s">
        <v>34</v>
      </c>
      <c r="B29" s="252"/>
      <c r="C29" s="253" t="s">
        <v>35</v>
      </c>
      <c r="D29" s="253"/>
      <c r="E29" s="79">
        <v>70.91836734693878</v>
      </c>
      <c r="F29" s="81"/>
      <c r="G29" s="81"/>
      <c r="H29"/>
      <c r="I29"/>
      <c r="J29"/>
      <c r="K29" s="112"/>
      <c r="L29" s="112"/>
      <c r="M29" s="113"/>
      <c r="N29" s="113"/>
      <c r="O29" s="113"/>
    </row>
    <row r="30" spans="1:192" ht="16.149999999999999" customHeight="1">
      <c r="A30" s="251" t="s">
        <v>36</v>
      </c>
      <c r="B30" s="252"/>
      <c r="C30" s="253" t="s">
        <v>37</v>
      </c>
      <c r="D30" s="253"/>
      <c r="E30" s="79">
        <v>70.91836734693878</v>
      </c>
      <c r="F30" s="81"/>
      <c r="G30" s="81"/>
      <c r="H30"/>
      <c r="I30"/>
      <c r="J30"/>
      <c r="K30" s="112"/>
      <c r="L30" s="112"/>
      <c r="M30" s="113"/>
      <c r="N30" s="113"/>
      <c r="O30" s="113"/>
    </row>
    <row r="31" spans="1:192" ht="16.149999999999999" customHeight="1">
      <c r="A31" s="254" t="s">
        <v>38</v>
      </c>
      <c r="B31" s="255"/>
      <c r="C31" s="255"/>
      <c r="D31" s="255"/>
      <c r="E31" s="79">
        <v>35.700000000000003</v>
      </c>
      <c r="F31" s="81"/>
      <c r="G31" s="81"/>
      <c r="H31"/>
      <c r="I31"/>
      <c r="J31"/>
      <c r="K31" s="112"/>
      <c r="L31" s="112"/>
    </row>
    <row r="32" spans="1:192" ht="16.149999999999999" customHeight="1" thickBot="1">
      <c r="A32" s="249" t="s">
        <v>39</v>
      </c>
      <c r="B32" s="250"/>
      <c r="C32" s="250"/>
      <c r="D32" s="250"/>
      <c r="E32" s="80">
        <v>97.350000000000009</v>
      </c>
      <c r="F32" s="81"/>
      <c r="G32" s="81"/>
      <c r="H32"/>
      <c r="I32"/>
      <c r="J32"/>
      <c r="K32" s="112"/>
      <c r="L32" s="112"/>
    </row>
    <row r="33" spans="1:12" ht="16.149999999999999" customHeight="1">
      <c r="A33" s="106"/>
      <c r="B33" s="106"/>
      <c r="C33" s="106"/>
      <c r="D33" s="106"/>
      <c r="E33" s="81"/>
      <c r="F33" s="81"/>
      <c r="G33" s="81"/>
      <c r="H33" s="116"/>
      <c r="I33" s="111"/>
      <c r="J33" s="145"/>
      <c r="K33" s="112"/>
      <c r="L33" s="112"/>
    </row>
    <row r="34" spans="1:12" ht="16.149999999999999" customHeight="1">
      <c r="A34" s="106"/>
      <c r="B34" s="106"/>
      <c r="C34" s="106"/>
      <c r="D34" s="106"/>
      <c r="E34" s="81"/>
      <c r="F34" s="81"/>
      <c r="G34" s="81"/>
      <c r="I34" s="111"/>
      <c r="J34" s="145"/>
      <c r="K34" s="112"/>
      <c r="L34" s="112"/>
    </row>
    <row r="35" spans="1:12" ht="16.149999999999999" customHeight="1">
      <c r="A35" s="106"/>
      <c r="B35" s="106"/>
      <c r="C35" s="106"/>
      <c r="D35" s="106"/>
      <c r="E35" s="81"/>
      <c r="F35" s="81"/>
      <c r="G35" s="81"/>
      <c r="I35" s="111"/>
      <c r="J35" s="112"/>
      <c r="K35" s="112"/>
      <c r="L35" s="112"/>
    </row>
    <row r="36" spans="1:12" ht="16.5" customHeight="1">
      <c r="A36" s="25"/>
      <c r="B36" s="25"/>
      <c r="C36" s="25"/>
      <c r="D36" s="25"/>
      <c r="E36" s="25"/>
      <c r="F36" s="25"/>
      <c r="G36" s="25"/>
    </row>
    <row r="37" spans="1:12" ht="21.75" customHeight="1">
      <c r="A37" s="74" t="s">
        <v>40</v>
      </c>
      <c r="B37" s="25"/>
      <c r="C37" s="25"/>
      <c r="D37" s="25"/>
      <c r="E37" s="25"/>
      <c r="F37" s="25"/>
      <c r="G37" s="25"/>
      <c r="H37" s="116"/>
      <c r="I37" s="116"/>
      <c r="J37" s="116"/>
      <c r="K37" s="116"/>
    </row>
    <row r="38" spans="1:12" ht="33" customHeight="1">
      <c r="A38" s="247" t="s">
        <v>41</v>
      </c>
      <c r="B38" s="247"/>
      <c r="C38" s="247"/>
      <c r="D38" s="247"/>
      <c r="E38" s="247"/>
      <c r="F38" s="247"/>
      <c r="G38" s="247"/>
    </row>
    <row r="39" spans="1:12">
      <c r="A39" s="117"/>
      <c r="B39" s="25"/>
      <c r="C39" s="25"/>
      <c r="D39" s="25"/>
      <c r="E39" s="25"/>
      <c r="F39" s="25"/>
      <c r="G39" s="25"/>
    </row>
    <row r="40" spans="1:12" ht="37.5" customHeight="1">
      <c r="A40" s="248" t="s">
        <v>42</v>
      </c>
      <c r="B40" s="248"/>
      <c r="C40" s="248"/>
      <c r="D40" s="248"/>
      <c r="E40" s="248"/>
      <c r="F40" s="248"/>
      <c r="G40" s="248"/>
    </row>
  </sheetData>
  <mergeCells count="36">
    <mergeCell ref="A1:G1"/>
    <mergeCell ref="A2:G2"/>
    <mergeCell ref="A3:G3"/>
    <mergeCell ref="A5:A11"/>
    <mergeCell ref="A16:D16"/>
    <mergeCell ref="A17:G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38:G38"/>
    <mergeCell ref="A40:G40"/>
    <mergeCell ref="A32:D32"/>
    <mergeCell ref="A29:B29"/>
    <mergeCell ref="C29:D29"/>
    <mergeCell ref="A30:B30"/>
    <mergeCell ref="C30:D30"/>
    <mergeCell ref="A31:D31"/>
  </mergeCells>
  <printOptions horizontalCentered="1"/>
  <pageMargins left="0.196850393700787" right="0.196850393700787" top="0.39370078740157499" bottom="0.59055118110236204" header="0" footer="0.196850393700787"/>
  <pageSetup scale="94" orientation="portrait" r:id="rId1"/>
  <headerFooter alignWithMargins="0">
    <oddFooter>&amp;L&amp;P
&amp;RMay 4, 2025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>
    <tabColor theme="9" tint="0.59999389629810485"/>
    <pageSetUpPr fitToPage="1"/>
  </sheetPr>
  <dimension ref="A1:GR67"/>
  <sheetViews>
    <sheetView defaultGridColor="0" view="pageBreakPreview" topLeftCell="A2" colorId="22" zoomScale="90" zoomScaleNormal="110" zoomScaleSheetLayoutView="90" workbookViewId="0">
      <selection activeCell="A6" sqref="A6:A11"/>
    </sheetView>
  </sheetViews>
  <sheetFormatPr defaultColWidth="9" defaultRowHeight="15.5"/>
  <cols>
    <col min="1" max="1" width="5.23046875" style="3" customWidth="1"/>
    <col min="2" max="2" width="2" style="26" customWidth="1"/>
    <col min="3" max="3" width="9.23046875" style="3" customWidth="1"/>
    <col min="4" max="4" width="11.69140625" style="3" customWidth="1"/>
    <col min="5" max="5" width="10.07421875" style="3" customWidth="1"/>
    <col min="6" max="6" width="9.69140625" style="3" customWidth="1"/>
    <col min="7" max="7" width="9.53515625" style="3" bestFit="1" customWidth="1"/>
    <col min="8" max="8" width="9.69140625" style="3" customWidth="1"/>
    <col min="9" max="9" width="4.3046875" style="3" customWidth="1"/>
    <col min="10" max="10" width="2.84375" style="3" customWidth="1"/>
    <col min="11" max="11" width="7.765625" style="87" customWidth="1"/>
    <col min="12" max="12" width="5.84375" style="87" bestFit="1" customWidth="1"/>
    <col min="13" max="13" width="6.23046875" style="97" bestFit="1" customWidth="1"/>
    <col min="14" max="14" width="5" style="97" bestFit="1" customWidth="1"/>
    <col min="15" max="15" width="6.53515625" style="97" bestFit="1" customWidth="1"/>
    <col min="16" max="16" width="9" style="87"/>
    <col min="17" max="16384" width="9" style="3"/>
  </cols>
  <sheetData>
    <row r="1" spans="1:200" ht="24" customHeight="1">
      <c r="A1" s="269" t="s">
        <v>2</v>
      </c>
      <c r="B1" s="269"/>
      <c r="C1" s="269"/>
      <c r="D1" s="269"/>
      <c r="E1" s="269"/>
      <c r="F1" s="269"/>
      <c r="G1" s="269"/>
      <c r="H1" s="269"/>
      <c r="I1" s="269"/>
      <c r="J1" s="269"/>
    </row>
    <row r="2" spans="1:200" ht="21.75" customHeight="1">
      <c r="A2" s="261" t="str">
        <f>'Colonist-6 Panel'!A2</f>
        <v>NET PRICE LIST (May 4, 2025)</v>
      </c>
      <c r="B2" s="261"/>
      <c r="C2" s="261"/>
      <c r="D2" s="261"/>
      <c r="E2" s="261"/>
      <c r="F2" s="261"/>
      <c r="G2" s="261"/>
      <c r="H2" s="261"/>
      <c r="I2" s="261"/>
      <c r="J2" s="261"/>
    </row>
    <row r="3" spans="1:200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  <c r="H3" s="262"/>
      <c r="I3" s="262"/>
      <c r="J3" s="262"/>
    </row>
    <row r="4" spans="1:200" ht="11.25" customHeight="1">
      <c r="C4" s="1"/>
      <c r="D4" s="2"/>
      <c r="E4" s="2"/>
      <c r="F4" s="2"/>
      <c r="G4" s="2"/>
      <c r="H4" s="1"/>
      <c r="I4" s="1"/>
    </row>
    <row r="5" spans="1:200" ht="13.5" customHeight="1">
      <c r="C5" s="10"/>
      <c r="D5" s="10"/>
      <c r="E5" s="10"/>
      <c r="F5" s="10"/>
      <c r="G5" s="10"/>
      <c r="H5" s="11"/>
      <c r="I5" s="8"/>
    </row>
    <row r="6" spans="1:200" ht="20.25" customHeight="1">
      <c r="A6" s="263" t="s">
        <v>43</v>
      </c>
      <c r="B6" s="1"/>
      <c r="C6" s="1"/>
      <c r="D6" s="1"/>
      <c r="E6" s="1"/>
      <c r="F6" s="1"/>
      <c r="G6" s="1"/>
      <c r="H6" s="1"/>
    </row>
    <row r="7" spans="1:200" ht="20.25" customHeight="1">
      <c r="A7" s="263"/>
      <c r="B7" s="1"/>
      <c r="C7" s="1"/>
      <c r="D7" s="1"/>
      <c r="E7" s="1"/>
      <c r="F7" s="1"/>
      <c r="G7" s="1"/>
      <c r="H7" s="1"/>
    </row>
    <row r="8" spans="1:200" ht="15.75" customHeight="1">
      <c r="A8" s="263"/>
      <c r="B8" s="1"/>
      <c r="C8" s="1"/>
      <c r="D8" s="1"/>
      <c r="E8" s="1"/>
      <c r="F8" s="1"/>
      <c r="G8" s="1"/>
      <c r="H8" s="1"/>
    </row>
    <row r="9" spans="1:200" ht="15.75" customHeight="1">
      <c r="A9" s="263"/>
      <c r="B9" s="1"/>
      <c r="C9" s="1"/>
      <c r="D9" s="1"/>
      <c r="E9" s="1"/>
      <c r="F9" s="1"/>
      <c r="G9" s="1"/>
      <c r="H9" s="1"/>
    </row>
    <row r="10" spans="1:200" ht="20.25" customHeight="1">
      <c r="A10" s="263"/>
      <c r="B10" s="1"/>
      <c r="C10" s="1"/>
      <c r="D10" s="1"/>
      <c r="E10" s="1"/>
      <c r="F10" s="1"/>
      <c r="G10" s="1"/>
      <c r="H10" s="1"/>
    </row>
    <row r="11" spans="1:200" ht="20.25" customHeight="1">
      <c r="A11" s="263"/>
      <c r="B11" s="1"/>
      <c r="C11" s="1"/>
      <c r="D11" s="1"/>
      <c r="E11" s="1"/>
      <c r="F11" s="1"/>
      <c r="G11" s="1"/>
      <c r="H11" s="1"/>
    </row>
    <row r="12" spans="1:200" ht="9" customHeight="1" thickBot="1">
      <c r="A12" s="26"/>
      <c r="B12" s="4"/>
      <c r="C12" s="5"/>
      <c r="D12" s="5"/>
      <c r="E12" s="5"/>
      <c r="F12" s="5"/>
      <c r="G12" s="6"/>
      <c r="H12" s="6"/>
    </row>
    <row r="13" spans="1:200" ht="38.25" customHeight="1" thickTop="1" thickBot="1">
      <c r="B13" s="16"/>
      <c r="C13" s="17" t="s">
        <v>44</v>
      </c>
      <c r="D13" s="72" t="s">
        <v>45</v>
      </c>
      <c r="E13" s="15" t="s">
        <v>46</v>
      </c>
      <c r="F13" s="15" t="s">
        <v>47</v>
      </c>
      <c r="G13" s="15" t="s">
        <v>48</v>
      </c>
      <c r="H13" s="72" t="s">
        <v>5</v>
      </c>
      <c r="I13"/>
      <c r="K13" s="88"/>
      <c r="L13" s="88"/>
      <c r="M13" s="102"/>
      <c r="N13" s="102"/>
      <c r="O13" s="102"/>
      <c r="P13" s="88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</row>
    <row r="14" spans="1:200" ht="16.5" thickTop="1" thickBot="1">
      <c r="A14" s="21" t="s">
        <v>6</v>
      </c>
      <c r="C14" s="19" t="s">
        <v>7</v>
      </c>
      <c r="D14" s="19" t="s">
        <v>49</v>
      </c>
      <c r="E14" s="19" t="s">
        <v>50</v>
      </c>
      <c r="F14" s="19" t="s">
        <v>7</v>
      </c>
      <c r="G14" s="19" t="s">
        <v>7</v>
      </c>
      <c r="H14" s="19" t="s">
        <v>7</v>
      </c>
      <c r="I14"/>
      <c r="K14" s="88"/>
      <c r="L14" s="88"/>
      <c r="M14" s="102"/>
      <c r="N14" s="102"/>
      <c r="O14" s="102"/>
      <c r="P14" s="88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</row>
    <row r="15" spans="1:200" ht="16.5" thickTop="1" thickBot="1">
      <c r="A15" s="21" t="s">
        <v>8</v>
      </c>
      <c r="C15" s="19" t="s">
        <v>49</v>
      </c>
      <c r="D15" s="19" t="s">
        <v>51</v>
      </c>
      <c r="E15" s="20" t="s">
        <v>50</v>
      </c>
      <c r="F15" s="20" t="s">
        <v>50</v>
      </c>
      <c r="G15" s="20" t="s">
        <v>50</v>
      </c>
      <c r="H15" s="19" t="s">
        <v>7</v>
      </c>
      <c r="I15"/>
      <c r="K15" s="88"/>
      <c r="L15" s="88"/>
      <c r="M15" s="102"/>
      <c r="N15" s="102"/>
      <c r="O15" s="102"/>
      <c r="P15" s="88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</row>
    <row r="16" spans="1:200" ht="16.5" customHeight="1" thickTop="1" thickBot="1">
      <c r="B16" s="7"/>
      <c r="C16" s="9"/>
      <c r="D16" s="9"/>
      <c r="E16" s="10"/>
      <c r="F16" s="9"/>
      <c r="G16" s="9"/>
      <c r="H16" s="9"/>
      <c r="I16" s="9"/>
      <c r="J16" s="12"/>
      <c r="K16" s="88"/>
      <c r="L16" s="88"/>
      <c r="M16" s="102"/>
      <c r="N16" s="102"/>
      <c r="O16" s="102"/>
      <c r="P16" s="88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</row>
    <row r="17" spans="3:200" ht="36" customHeight="1" thickTop="1" thickBot="1">
      <c r="C17" s="264" t="s">
        <v>9</v>
      </c>
      <c r="D17" s="265"/>
      <c r="E17" s="265"/>
      <c r="F17" s="266"/>
      <c r="G17" s="270" t="str">
        <f>'Colonist-6 Panel'!E16</f>
        <v>Net Price</v>
      </c>
      <c r="H17" s="271"/>
      <c r="I17" s="125"/>
      <c r="J17" s="12"/>
      <c r="K17" s="88"/>
      <c r="L17" s="88"/>
      <c r="M17" s="102"/>
      <c r="N17" s="102"/>
      <c r="O17" s="102"/>
      <c r="P17" s="88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</row>
    <row r="18" spans="3:200" ht="30" customHeight="1" thickTop="1" thickBot="1">
      <c r="C18" s="273" t="s">
        <v>11</v>
      </c>
      <c r="D18" s="273"/>
      <c r="E18" s="273"/>
      <c r="F18" s="273"/>
      <c r="G18" s="256"/>
      <c r="H18" s="256"/>
      <c r="I18" s="256"/>
      <c r="J18" s="12"/>
      <c r="K18" s="88"/>
      <c r="L18" s="88"/>
      <c r="M18" s="102"/>
      <c r="N18" s="102"/>
      <c r="O18" s="102"/>
      <c r="P18" s="88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</row>
    <row r="19" spans="3:200">
      <c r="C19" s="257" t="s">
        <v>12</v>
      </c>
      <c r="D19" s="258"/>
      <c r="E19" s="259" t="s">
        <v>13</v>
      </c>
      <c r="F19" s="274"/>
      <c r="G19" s="275">
        <f>K19</f>
        <v>63.265306122448983</v>
      </c>
      <c r="H19" s="276"/>
      <c r="J19" s="12"/>
      <c r="K19" s="91">
        <v>63.265306122448983</v>
      </c>
      <c r="L19"/>
      <c r="M19"/>
      <c r="N19" s="101"/>
      <c r="O19" s="101"/>
      <c r="P19" s="146"/>
      <c r="Q19" s="93"/>
      <c r="R19" s="93"/>
      <c r="S19" s="93"/>
      <c r="T19" s="93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</row>
    <row r="20" spans="3:200">
      <c r="C20" s="251" t="s">
        <v>14</v>
      </c>
      <c r="D20" s="252"/>
      <c r="E20" s="253" t="s">
        <v>15</v>
      </c>
      <c r="F20" s="272"/>
      <c r="G20" s="267">
        <f t="shared" ref="G20:G32" si="0">K20</f>
        <v>63.265306122448983</v>
      </c>
      <c r="H20" s="268"/>
      <c r="J20" s="12"/>
      <c r="K20" s="91">
        <v>63.265306122448983</v>
      </c>
      <c r="L20"/>
      <c r="M20"/>
      <c r="N20" s="101"/>
      <c r="O20" s="101"/>
      <c r="P20" s="146"/>
      <c r="Q20" s="93"/>
      <c r="R20" s="93"/>
      <c r="S20" s="93"/>
      <c r="T20" s="93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</row>
    <row r="21" spans="3:200">
      <c r="C21" s="251" t="s">
        <v>16</v>
      </c>
      <c r="D21" s="252"/>
      <c r="E21" s="253" t="s">
        <v>17</v>
      </c>
      <c r="F21" s="272"/>
      <c r="G21" s="267">
        <f t="shared" si="0"/>
        <v>63.265306122448983</v>
      </c>
      <c r="H21" s="268"/>
      <c r="J21" s="12"/>
      <c r="K21" s="91">
        <v>63.265306122448983</v>
      </c>
      <c r="L21"/>
      <c r="M21"/>
      <c r="N21" s="101"/>
      <c r="O21" s="101"/>
      <c r="P21" s="146"/>
      <c r="Q21" s="93"/>
      <c r="R21" s="93"/>
      <c r="S21" s="93"/>
      <c r="T21" s="93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</row>
    <row r="22" spans="3:200">
      <c r="C22" s="251" t="s">
        <v>18</v>
      </c>
      <c r="D22" s="252"/>
      <c r="E22" s="253" t="s">
        <v>19</v>
      </c>
      <c r="F22" s="272"/>
      <c r="G22" s="267">
        <f t="shared" si="0"/>
        <v>63.265306122448983</v>
      </c>
      <c r="H22" s="268"/>
      <c r="J22" s="12"/>
      <c r="K22" s="91">
        <v>63.265306122448983</v>
      </c>
      <c r="L22"/>
      <c r="M22"/>
      <c r="N22" s="101"/>
      <c r="O22" s="101"/>
      <c r="P22" s="146"/>
      <c r="Q22" s="93"/>
      <c r="R22" s="93"/>
      <c r="S22" s="93"/>
      <c r="T22" s="93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</row>
    <row r="23" spans="3:200">
      <c r="C23" s="251" t="s">
        <v>20</v>
      </c>
      <c r="D23" s="252"/>
      <c r="E23" s="253" t="s">
        <v>21</v>
      </c>
      <c r="F23" s="272"/>
      <c r="G23" s="267">
        <f t="shared" si="0"/>
        <v>66.58163265306122</v>
      </c>
      <c r="H23" s="268"/>
      <c r="J23" s="12"/>
      <c r="K23" s="91">
        <v>66.58163265306122</v>
      </c>
      <c r="L23"/>
      <c r="M23"/>
      <c r="N23" s="101"/>
      <c r="O23" s="101"/>
      <c r="P23" s="146"/>
      <c r="Q23" s="93"/>
      <c r="R23" s="93"/>
      <c r="S23" s="93"/>
      <c r="T23" s="93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</row>
    <row r="24" spans="3:200">
      <c r="C24" s="251" t="s">
        <v>22</v>
      </c>
      <c r="D24" s="252"/>
      <c r="E24" s="253" t="s">
        <v>23</v>
      </c>
      <c r="F24" s="272"/>
      <c r="G24" s="267">
        <f t="shared" si="0"/>
        <v>66.58163265306122</v>
      </c>
      <c r="H24" s="268"/>
      <c r="J24" s="12"/>
      <c r="K24" s="91">
        <v>66.58163265306122</v>
      </c>
      <c r="L24"/>
      <c r="M24"/>
      <c r="N24" s="101"/>
      <c r="O24" s="101"/>
      <c r="P24" s="146"/>
      <c r="Q24" s="93"/>
      <c r="R24" s="93"/>
      <c r="S24" s="93"/>
      <c r="T24" s="93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</row>
    <row r="25" spans="3:200">
      <c r="C25" s="251" t="s">
        <v>24</v>
      </c>
      <c r="D25" s="252"/>
      <c r="E25" s="253" t="s">
        <v>25</v>
      </c>
      <c r="F25" s="272"/>
      <c r="G25" s="267">
        <f t="shared" si="0"/>
        <v>66.58163265306122</v>
      </c>
      <c r="H25" s="268"/>
      <c r="J25" s="12"/>
      <c r="K25" s="91">
        <v>66.58163265306122</v>
      </c>
      <c r="L25"/>
      <c r="M25"/>
      <c r="N25" s="101"/>
      <c r="O25" s="101"/>
      <c r="P25" s="146"/>
      <c r="Q25" s="93"/>
      <c r="R25" s="93"/>
      <c r="S25" s="93"/>
      <c r="T25" s="93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</row>
    <row r="26" spans="3:200" s="30" customFormat="1">
      <c r="C26" s="251" t="s">
        <v>26</v>
      </c>
      <c r="D26" s="252"/>
      <c r="E26" s="253" t="s">
        <v>27</v>
      </c>
      <c r="F26" s="272"/>
      <c r="G26" s="267">
        <f t="shared" si="0"/>
        <v>68.826530612244909</v>
      </c>
      <c r="H26" s="268"/>
      <c r="J26" s="12"/>
      <c r="K26" s="91">
        <v>68.826530612244909</v>
      </c>
      <c r="L26"/>
      <c r="M26"/>
      <c r="N26" s="101"/>
      <c r="O26" s="101"/>
      <c r="P26" s="146"/>
      <c r="Q26" s="93"/>
      <c r="R26" s="93"/>
      <c r="S26" s="93"/>
      <c r="T26" s="93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</row>
    <row r="27" spans="3:200" s="30" customFormat="1">
      <c r="C27" s="251" t="s">
        <v>28</v>
      </c>
      <c r="D27" s="252"/>
      <c r="E27" s="253" t="s">
        <v>29</v>
      </c>
      <c r="F27" s="272"/>
      <c r="G27" s="267">
        <f t="shared" si="0"/>
        <v>68.826530612244909</v>
      </c>
      <c r="H27" s="268"/>
      <c r="J27" s="12"/>
      <c r="K27" s="91">
        <v>68.826530612244909</v>
      </c>
      <c r="L27"/>
      <c r="M27"/>
      <c r="N27" s="101"/>
      <c r="O27" s="101"/>
      <c r="P27" s="146"/>
      <c r="Q27" s="93"/>
      <c r="R27" s="93"/>
      <c r="S27" s="93"/>
      <c r="T27" s="93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</row>
    <row r="28" spans="3:200" ht="15.75" customHeight="1">
      <c r="C28" s="251" t="s">
        <v>30</v>
      </c>
      <c r="D28" s="252"/>
      <c r="E28" s="253" t="s">
        <v>31</v>
      </c>
      <c r="F28" s="272"/>
      <c r="G28" s="267">
        <f t="shared" si="0"/>
        <v>68.826530612244909</v>
      </c>
      <c r="H28" s="268"/>
      <c r="J28" s="12"/>
      <c r="K28" s="91">
        <v>68.826530612244909</v>
      </c>
      <c r="L28"/>
      <c r="M28"/>
      <c r="N28" s="101"/>
      <c r="O28" s="101"/>
      <c r="P28" s="146"/>
      <c r="Q28" s="93"/>
      <c r="R28" s="93"/>
      <c r="S28" s="93"/>
      <c r="T28" s="93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</row>
    <row r="29" spans="3:200">
      <c r="C29" s="251" t="s">
        <v>32</v>
      </c>
      <c r="D29" s="252"/>
      <c r="E29" s="253" t="s">
        <v>33</v>
      </c>
      <c r="F29" s="272"/>
      <c r="G29" s="267">
        <f t="shared" si="0"/>
        <v>71.173469387755105</v>
      </c>
      <c r="H29" s="268"/>
      <c r="J29" s="12"/>
      <c r="K29" s="91">
        <v>71.173469387755105</v>
      </c>
      <c r="L29"/>
      <c r="M29"/>
      <c r="N29" s="101"/>
      <c r="O29" s="101"/>
      <c r="P29" s="146"/>
      <c r="Q29" s="93"/>
      <c r="R29" s="93"/>
      <c r="S29" s="93"/>
      <c r="T29" s="93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</row>
    <row r="30" spans="3:200">
      <c r="C30" s="251" t="s">
        <v>34</v>
      </c>
      <c r="D30" s="252"/>
      <c r="E30" s="253" t="s">
        <v>35</v>
      </c>
      <c r="F30" s="272"/>
      <c r="G30" s="267">
        <f t="shared" si="0"/>
        <v>74.489795918367349</v>
      </c>
      <c r="H30" s="268"/>
      <c r="J30" s="12"/>
      <c r="K30" s="89">
        <v>74.489795918367349</v>
      </c>
      <c r="L30"/>
      <c r="M30"/>
      <c r="N30" s="101"/>
      <c r="O30" s="101"/>
      <c r="P30" s="146"/>
      <c r="Q30" s="93"/>
      <c r="R30" s="93"/>
      <c r="S30" s="93"/>
      <c r="T30" s="93"/>
    </row>
    <row r="31" spans="3:200" ht="16.149999999999999" customHeight="1">
      <c r="C31" s="251" t="s">
        <v>36</v>
      </c>
      <c r="D31" s="252"/>
      <c r="E31" s="253" t="s">
        <v>37</v>
      </c>
      <c r="F31" s="272"/>
      <c r="G31" s="267">
        <f t="shared" si="0"/>
        <v>74.489795918367349</v>
      </c>
      <c r="H31" s="268"/>
      <c r="J31" s="12"/>
      <c r="K31" s="89">
        <v>74.489795918367349</v>
      </c>
      <c r="L31"/>
      <c r="M31"/>
      <c r="N31" s="101"/>
      <c r="O31" s="101"/>
      <c r="P31" s="146"/>
      <c r="Q31" s="93"/>
      <c r="R31" s="93"/>
      <c r="S31" s="93"/>
      <c r="T31" s="93"/>
    </row>
    <row r="32" spans="3:200" ht="16.149999999999999" customHeight="1">
      <c r="C32" s="251" t="s">
        <v>52</v>
      </c>
      <c r="D32" s="252"/>
      <c r="E32" s="253" t="s">
        <v>53</v>
      </c>
      <c r="F32" s="272"/>
      <c r="G32" s="267">
        <f t="shared" si="0"/>
        <v>101.73469387755102</v>
      </c>
      <c r="H32" s="268"/>
      <c r="J32" s="12"/>
      <c r="K32" s="89">
        <v>101.73469387755102</v>
      </c>
      <c r="L32"/>
      <c r="M32"/>
      <c r="N32" s="101"/>
      <c r="O32" s="101"/>
      <c r="P32" s="146"/>
      <c r="Q32" s="93"/>
      <c r="R32" s="93"/>
      <c r="S32" s="93"/>
      <c r="T32" s="93"/>
    </row>
    <row r="33" spans="3:20" ht="16.149999999999999" customHeight="1">
      <c r="C33" s="254" t="s">
        <v>38</v>
      </c>
      <c r="D33" s="255"/>
      <c r="E33" s="255"/>
      <c r="F33" s="281"/>
      <c r="G33" s="267">
        <f t="shared" ref="G33:G34" si="1">K33</f>
        <v>35.700000000000003</v>
      </c>
      <c r="H33" s="268"/>
      <c r="I33" s="81"/>
      <c r="J33" s="12"/>
      <c r="K33" s="87">
        <v>35.700000000000003</v>
      </c>
      <c r="L33"/>
      <c r="M33"/>
      <c r="N33" s="101"/>
      <c r="O33" s="101"/>
      <c r="Q33" s="93"/>
      <c r="R33" s="93"/>
      <c r="S33" s="93"/>
      <c r="T33" s="93"/>
    </row>
    <row r="34" spans="3:20" ht="16.149999999999999" customHeight="1" thickBot="1">
      <c r="C34" s="249" t="s">
        <v>39</v>
      </c>
      <c r="D34" s="250"/>
      <c r="E34" s="250"/>
      <c r="F34" s="282"/>
      <c r="G34" s="287">
        <f t="shared" si="1"/>
        <v>97.350000000000009</v>
      </c>
      <c r="H34" s="288"/>
      <c r="I34" s="81"/>
      <c r="J34" s="12"/>
      <c r="K34" s="87">
        <v>97.350000000000009</v>
      </c>
      <c r="L34"/>
      <c r="M34"/>
      <c r="N34" s="101"/>
      <c r="O34" s="101"/>
      <c r="Q34" s="93"/>
      <c r="R34" s="93"/>
      <c r="S34" s="93"/>
      <c r="T34" s="93"/>
    </row>
    <row r="35" spans="3:20" s="3" customFormat="1" ht="30" customHeight="1" thickBot="1">
      <c r="C35" s="256" t="s">
        <v>54</v>
      </c>
      <c r="D35" s="256"/>
      <c r="E35" s="256"/>
      <c r="F35" s="256"/>
      <c r="G35" s="256"/>
      <c r="H35" s="256"/>
      <c r="I35" s="256"/>
      <c r="J35" s="12"/>
      <c r="K35" s="87"/>
      <c r="L35" s="91"/>
      <c r="M35" s="101"/>
      <c r="N35" s="101"/>
      <c r="O35" s="101"/>
      <c r="P35" s="87"/>
      <c r="Q35" s="93"/>
      <c r="R35" s="93"/>
      <c r="S35" s="93"/>
      <c r="T35" s="93"/>
    </row>
    <row r="36" spans="3:20" ht="16.149999999999999" customHeight="1">
      <c r="C36" s="283" t="s">
        <v>18</v>
      </c>
      <c r="D36" s="284"/>
      <c r="E36" s="285" t="s">
        <v>19</v>
      </c>
      <c r="F36" s="286"/>
      <c r="G36" s="275">
        <f t="shared" ref="G36:G47" si="2">K36</f>
        <v>82.908163265306129</v>
      </c>
      <c r="H36" s="276"/>
      <c r="I36" s="83"/>
      <c r="J36" s="12"/>
      <c r="K36" s="89">
        <v>82.908163265306129</v>
      </c>
      <c r="L36"/>
      <c r="M36"/>
      <c r="N36"/>
      <c r="O36"/>
      <c r="P36" s="89"/>
      <c r="Q36" s="93"/>
      <c r="R36" s="93"/>
      <c r="S36" s="93"/>
      <c r="T36" s="93"/>
    </row>
    <row r="37" spans="3:20" ht="16.149999999999999" customHeight="1">
      <c r="C37" s="277" t="s">
        <v>20</v>
      </c>
      <c r="D37" s="278"/>
      <c r="E37" s="279" t="s">
        <v>21</v>
      </c>
      <c r="F37" s="280"/>
      <c r="G37" s="267">
        <f t="shared" si="2"/>
        <v>82.908163265306129</v>
      </c>
      <c r="H37" s="268"/>
      <c r="I37" s="83"/>
      <c r="J37" s="12"/>
      <c r="K37" s="89">
        <v>82.908163265306129</v>
      </c>
      <c r="L37"/>
      <c r="M37"/>
      <c r="N37"/>
      <c r="O37"/>
      <c r="P37" s="89"/>
      <c r="Q37" s="93"/>
      <c r="R37" s="93"/>
      <c r="S37" s="93"/>
      <c r="T37" s="93"/>
    </row>
    <row r="38" spans="3:20" ht="16.149999999999999" customHeight="1">
      <c r="C38" s="277" t="s">
        <v>22</v>
      </c>
      <c r="D38" s="278"/>
      <c r="E38" s="279" t="s">
        <v>23</v>
      </c>
      <c r="F38" s="280"/>
      <c r="G38" s="267">
        <f t="shared" si="2"/>
        <v>82.908163265306129</v>
      </c>
      <c r="H38" s="268"/>
      <c r="I38" s="83"/>
      <c r="J38" s="12"/>
      <c r="K38" s="89">
        <v>82.908163265306129</v>
      </c>
      <c r="L38"/>
      <c r="M38"/>
      <c r="N38"/>
      <c r="O38"/>
      <c r="P38" s="89"/>
      <c r="Q38" s="93"/>
      <c r="R38" s="93"/>
      <c r="S38" s="93"/>
      <c r="T38" s="93"/>
    </row>
    <row r="39" spans="3:20" ht="16.149999999999999" customHeight="1">
      <c r="C39" s="277" t="s">
        <v>24</v>
      </c>
      <c r="D39" s="278"/>
      <c r="E39" s="279" t="s">
        <v>25</v>
      </c>
      <c r="F39" s="280"/>
      <c r="G39" s="267">
        <f t="shared" si="2"/>
        <v>82.908163265306129</v>
      </c>
      <c r="H39" s="268"/>
      <c r="I39" s="83"/>
      <c r="J39" s="12"/>
      <c r="K39" s="89">
        <v>82.908163265306129</v>
      </c>
      <c r="L39"/>
      <c r="M39"/>
      <c r="N39"/>
      <c r="O39"/>
      <c r="P39" s="89"/>
      <c r="Q39" s="93"/>
      <c r="R39" s="93"/>
      <c r="S39" s="93"/>
      <c r="T39" s="93"/>
    </row>
    <row r="40" spans="3:20" ht="16.149999999999999" customHeight="1">
      <c r="C40" s="277" t="s">
        <v>26</v>
      </c>
      <c r="D40" s="278"/>
      <c r="E40" s="279" t="s">
        <v>27</v>
      </c>
      <c r="F40" s="280"/>
      <c r="G40" s="267">
        <f t="shared" si="2"/>
        <v>90.663265306122454</v>
      </c>
      <c r="H40" s="268"/>
      <c r="I40" s="83"/>
      <c r="J40" s="12"/>
      <c r="K40" s="89">
        <v>90.663265306122454</v>
      </c>
      <c r="L40"/>
      <c r="M40"/>
      <c r="N40"/>
      <c r="O40"/>
      <c r="P40" s="89"/>
      <c r="Q40" s="93"/>
      <c r="R40" s="93"/>
      <c r="S40" s="93"/>
      <c r="T40" s="93"/>
    </row>
    <row r="41" spans="3:20" ht="16.149999999999999" customHeight="1">
      <c r="C41" s="277" t="s">
        <v>28</v>
      </c>
      <c r="D41" s="278"/>
      <c r="E41" s="279" t="s">
        <v>29</v>
      </c>
      <c r="F41" s="280"/>
      <c r="G41" s="267">
        <f t="shared" si="2"/>
        <v>90.663265306122454</v>
      </c>
      <c r="H41" s="268"/>
      <c r="I41" s="83"/>
      <c r="J41" s="12"/>
      <c r="K41" s="89">
        <v>90.663265306122454</v>
      </c>
      <c r="L41"/>
      <c r="M41"/>
      <c r="N41"/>
      <c r="O41"/>
      <c r="P41" s="89"/>
      <c r="Q41" s="93"/>
      <c r="R41" s="93"/>
      <c r="S41" s="93"/>
      <c r="T41" s="93"/>
    </row>
    <row r="42" spans="3:20" ht="16.149999999999999" customHeight="1">
      <c r="C42" s="277" t="s">
        <v>30</v>
      </c>
      <c r="D42" s="278"/>
      <c r="E42" s="279" t="s">
        <v>31</v>
      </c>
      <c r="F42" s="280"/>
      <c r="G42" s="267">
        <f t="shared" si="2"/>
        <v>90.663265306122454</v>
      </c>
      <c r="H42" s="268"/>
      <c r="I42" s="83"/>
      <c r="J42" s="12"/>
      <c r="K42" s="89">
        <v>90.663265306122454</v>
      </c>
      <c r="L42"/>
      <c r="M42"/>
      <c r="N42"/>
      <c r="O42"/>
      <c r="P42" s="89"/>
      <c r="Q42" s="93"/>
      <c r="R42" s="93"/>
      <c r="S42" s="93"/>
      <c r="T42" s="93"/>
    </row>
    <row r="43" spans="3:20" ht="16.149999999999999" customHeight="1">
      <c r="C43" s="277" t="s">
        <v>32</v>
      </c>
      <c r="D43" s="278"/>
      <c r="E43" s="279" t="s">
        <v>33</v>
      </c>
      <c r="F43" s="280"/>
      <c r="G43" s="267">
        <f t="shared" si="2"/>
        <v>95.612244897959187</v>
      </c>
      <c r="H43" s="268"/>
      <c r="I43" s="83"/>
      <c r="J43" s="12"/>
      <c r="K43" s="89">
        <v>95.612244897959187</v>
      </c>
      <c r="L43"/>
      <c r="M43"/>
      <c r="N43"/>
      <c r="O43"/>
      <c r="P43" s="89"/>
      <c r="Q43" s="93"/>
      <c r="R43" s="93"/>
      <c r="S43" s="93"/>
      <c r="T43" s="93"/>
    </row>
    <row r="44" spans="3:20" ht="16.149999999999999" customHeight="1">
      <c r="C44" s="277" t="s">
        <v>34</v>
      </c>
      <c r="D44" s="278"/>
      <c r="E44" s="279" t="s">
        <v>35</v>
      </c>
      <c r="F44" s="280"/>
      <c r="G44" s="267">
        <f t="shared" si="2"/>
        <v>95.612244897959187</v>
      </c>
      <c r="H44" s="268"/>
      <c r="I44" s="83"/>
      <c r="J44" s="12"/>
      <c r="K44" s="89">
        <v>95.612244897959187</v>
      </c>
      <c r="L44"/>
      <c r="M44"/>
      <c r="N44"/>
      <c r="O44"/>
      <c r="P44" s="89"/>
      <c r="Q44" s="93"/>
      <c r="R44" s="93"/>
      <c r="S44" s="93"/>
      <c r="T44" s="93"/>
    </row>
    <row r="45" spans="3:20" ht="15.75" customHeight="1">
      <c r="C45" s="277" t="s">
        <v>36</v>
      </c>
      <c r="D45" s="278"/>
      <c r="E45" s="279" t="s">
        <v>37</v>
      </c>
      <c r="F45" s="280"/>
      <c r="G45" s="267">
        <f t="shared" si="2"/>
        <v>95.612244897959187</v>
      </c>
      <c r="H45" s="268"/>
      <c r="I45" s="83"/>
      <c r="J45" s="12"/>
      <c r="K45" s="89">
        <v>95.612244897959187</v>
      </c>
      <c r="L45"/>
      <c r="M45"/>
      <c r="N45"/>
      <c r="O45"/>
      <c r="P45" s="89"/>
      <c r="Q45" s="93"/>
      <c r="R45" s="93"/>
      <c r="S45" s="93"/>
      <c r="T45" s="93"/>
    </row>
    <row r="46" spans="3:20" ht="15.75" customHeight="1">
      <c r="C46" s="254" t="s">
        <v>38</v>
      </c>
      <c r="D46" s="255"/>
      <c r="E46" s="255"/>
      <c r="F46" s="281"/>
      <c r="G46" s="267">
        <f t="shared" si="2"/>
        <v>35.700000000000003</v>
      </c>
      <c r="H46" s="268"/>
      <c r="I46" s="83"/>
      <c r="J46" s="12"/>
      <c r="K46" s="235">
        <v>35.700000000000003</v>
      </c>
      <c r="L46"/>
      <c r="M46"/>
      <c r="N46"/>
      <c r="O46"/>
    </row>
    <row r="47" spans="3:20" ht="15.75" customHeight="1" thickBot="1">
      <c r="C47" s="249" t="s">
        <v>39</v>
      </c>
      <c r="D47" s="250"/>
      <c r="E47" s="250"/>
      <c r="F47" s="282"/>
      <c r="G47" s="287">
        <f t="shared" si="2"/>
        <v>97.350000000000009</v>
      </c>
      <c r="H47" s="288"/>
      <c r="I47" s="83"/>
      <c r="J47" s="12"/>
      <c r="K47" s="87">
        <v>97.350000000000009</v>
      </c>
      <c r="L47"/>
      <c r="M47"/>
      <c r="N47"/>
      <c r="O47"/>
    </row>
    <row r="48" spans="3:20" ht="30.75" customHeight="1" thickBot="1">
      <c r="C48" s="273" t="s">
        <v>55</v>
      </c>
      <c r="D48" s="273"/>
      <c r="E48" s="273"/>
      <c r="F48" s="273"/>
      <c r="G48" s="273"/>
      <c r="H48" s="273"/>
      <c r="I48" s="256"/>
      <c r="L48"/>
      <c r="M48"/>
      <c r="N48"/>
      <c r="O48"/>
    </row>
    <row r="49" spans="3:15">
      <c r="C49" s="257" t="s">
        <v>12</v>
      </c>
      <c r="D49" s="258"/>
      <c r="E49" s="259" t="s">
        <v>13</v>
      </c>
      <c r="F49" s="274"/>
      <c r="G49" s="267">
        <f t="shared" ref="G49:G64" si="3">K49</f>
        <v>143.31632653061223</v>
      </c>
      <c r="H49" s="268"/>
      <c r="I49" s="83"/>
      <c r="K49" s="228">
        <v>143.31632653061223</v>
      </c>
      <c r="L49"/>
      <c r="M49"/>
      <c r="N49"/>
      <c r="O49"/>
    </row>
    <row r="50" spans="3:15">
      <c r="C50" s="251" t="s">
        <v>14</v>
      </c>
      <c r="D50" s="252"/>
      <c r="E50" s="253" t="s">
        <v>15</v>
      </c>
      <c r="F50" s="272"/>
      <c r="G50" s="267">
        <f t="shared" si="3"/>
        <v>143.31632653061223</v>
      </c>
      <c r="H50" s="268"/>
      <c r="I50" s="83"/>
      <c r="K50" s="228">
        <v>143.31632653061223</v>
      </c>
      <c r="L50"/>
      <c r="M50"/>
      <c r="N50"/>
      <c r="O50"/>
    </row>
    <row r="51" spans="3:15">
      <c r="C51" s="251" t="s">
        <v>16</v>
      </c>
      <c r="D51" s="252"/>
      <c r="E51" s="253" t="s">
        <v>17</v>
      </c>
      <c r="F51" s="272"/>
      <c r="G51" s="267">
        <f t="shared" si="3"/>
        <v>143.31632653061223</v>
      </c>
      <c r="H51" s="268"/>
      <c r="I51" s="83"/>
      <c r="K51" s="228">
        <v>143.31632653061223</v>
      </c>
      <c r="L51"/>
      <c r="M51"/>
      <c r="N51"/>
      <c r="O51"/>
    </row>
    <row r="52" spans="3:15">
      <c r="C52" s="251" t="s">
        <v>18</v>
      </c>
      <c r="D52" s="252"/>
      <c r="E52" s="253" t="s">
        <v>19</v>
      </c>
      <c r="F52" s="272"/>
      <c r="G52" s="267">
        <f t="shared" si="3"/>
        <v>143.31632653061223</v>
      </c>
      <c r="H52" s="268"/>
      <c r="I52" s="83"/>
      <c r="K52" s="228">
        <v>143.31632653061223</v>
      </c>
      <c r="L52"/>
      <c r="M52"/>
      <c r="N52"/>
      <c r="O52"/>
    </row>
    <row r="53" spans="3:15">
      <c r="C53" s="251" t="s">
        <v>20</v>
      </c>
      <c r="D53" s="252"/>
      <c r="E53" s="253" t="s">
        <v>21</v>
      </c>
      <c r="F53" s="272"/>
      <c r="G53" s="267">
        <f t="shared" si="3"/>
        <v>146.63265306122449</v>
      </c>
      <c r="H53" s="268"/>
      <c r="I53" s="83"/>
      <c r="K53" s="228">
        <v>146.63265306122449</v>
      </c>
      <c r="L53"/>
      <c r="M53"/>
      <c r="N53"/>
      <c r="O53"/>
    </row>
    <row r="54" spans="3:15">
      <c r="C54" s="251" t="s">
        <v>22</v>
      </c>
      <c r="D54" s="252"/>
      <c r="E54" s="253" t="s">
        <v>23</v>
      </c>
      <c r="F54" s="272"/>
      <c r="G54" s="267">
        <f t="shared" si="3"/>
        <v>146.63265306122449</v>
      </c>
      <c r="H54" s="268"/>
      <c r="I54" s="83"/>
      <c r="K54" s="228">
        <v>146.63265306122449</v>
      </c>
      <c r="L54"/>
      <c r="M54"/>
      <c r="N54"/>
      <c r="O54"/>
    </row>
    <row r="55" spans="3:15">
      <c r="C55" s="251" t="s">
        <v>24</v>
      </c>
      <c r="D55" s="252"/>
      <c r="E55" s="253" t="s">
        <v>25</v>
      </c>
      <c r="F55" s="272"/>
      <c r="G55" s="267">
        <f t="shared" si="3"/>
        <v>146.63265306122449</v>
      </c>
      <c r="H55" s="268"/>
      <c r="I55" s="83"/>
      <c r="K55" s="228">
        <v>146.63265306122449</v>
      </c>
      <c r="L55"/>
      <c r="M55"/>
      <c r="N55"/>
      <c r="O55"/>
    </row>
    <row r="56" spans="3:15">
      <c r="C56" s="251" t="s">
        <v>26</v>
      </c>
      <c r="D56" s="252"/>
      <c r="E56" s="253" t="s">
        <v>27</v>
      </c>
      <c r="F56" s="272"/>
      <c r="G56" s="267">
        <f t="shared" si="3"/>
        <v>148.87755102040816</v>
      </c>
      <c r="H56" s="268"/>
      <c r="I56" s="83"/>
      <c r="K56" s="228">
        <v>148.87755102040816</v>
      </c>
      <c r="L56"/>
      <c r="M56"/>
      <c r="N56"/>
      <c r="O56"/>
    </row>
    <row r="57" spans="3:15">
      <c r="C57" s="251" t="s">
        <v>28</v>
      </c>
      <c r="D57" s="252"/>
      <c r="E57" s="253" t="s">
        <v>29</v>
      </c>
      <c r="F57" s="272"/>
      <c r="G57" s="267">
        <f t="shared" si="3"/>
        <v>148.87755102040816</v>
      </c>
      <c r="H57" s="268"/>
      <c r="I57" s="83"/>
      <c r="K57" s="228">
        <v>148.87755102040816</v>
      </c>
      <c r="L57"/>
      <c r="M57"/>
      <c r="N57"/>
      <c r="O57"/>
    </row>
    <row r="58" spans="3:15">
      <c r="C58" s="251" t="s">
        <v>30</v>
      </c>
      <c r="D58" s="252"/>
      <c r="E58" s="253" t="s">
        <v>31</v>
      </c>
      <c r="F58" s="272"/>
      <c r="G58" s="267">
        <f t="shared" si="3"/>
        <v>148.87755102040816</v>
      </c>
      <c r="H58" s="268"/>
      <c r="I58" s="83"/>
      <c r="K58" s="228">
        <v>148.87755102040816</v>
      </c>
      <c r="L58"/>
      <c r="M58"/>
      <c r="N58"/>
      <c r="O58"/>
    </row>
    <row r="59" spans="3:15">
      <c r="C59" s="251" t="s">
        <v>32</v>
      </c>
      <c r="D59" s="252"/>
      <c r="E59" s="253" t="s">
        <v>33</v>
      </c>
      <c r="F59" s="272"/>
      <c r="G59" s="267">
        <f t="shared" si="3"/>
        <v>151.22448979591834</v>
      </c>
      <c r="H59" s="268"/>
      <c r="I59" s="83"/>
      <c r="K59" s="228">
        <v>151.22448979591834</v>
      </c>
      <c r="L59"/>
      <c r="M59"/>
      <c r="N59"/>
      <c r="O59"/>
    </row>
    <row r="60" spans="3:15">
      <c r="C60" s="251" t="s">
        <v>34</v>
      </c>
      <c r="D60" s="252"/>
      <c r="E60" s="253" t="s">
        <v>35</v>
      </c>
      <c r="F60" s="272"/>
      <c r="G60" s="267">
        <f t="shared" si="3"/>
        <v>154.5408163265306</v>
      </c>
      <c r="H60" s="268"/>
      <c r="I60" s="83"/>
      <c r="K60" s="228">
        <v>154.5408163265306</v>
      </c>
      <c r="L60"/>
      <c r="M60"/>
      <c r="N60"/>
      <c r="O60"/>
    </row>
    <row r="61" spans="3:15">
      <c r="C61" s="251" t="s">
        <v>36</v>
      </c>
      <c r="D61" s="252"/>
      <c r="E61" s="253" t="s">
        <v>37</v>
      </c>
      <c r="F61" s="272"/>
      <c r="G61" s="267">
        <f t="shared" si="3"/>
        <v>154.5408163265306</v>
      </c>
      <c r="H61" s="268"/>
      <c r="I61" s="83"/>
      <c r="K61" s="228">
        <v>154.5408163265306</v>
      </c>
      <c r="L61"/>
      <c r="M61"/>
      <c r="N61"/>
      <c r="O61"/>
    </row>
    <row r="62" spans="3:15">
      <c r="C62" s="251" t="s">
        <v>52</v>
      </c>
      <c r="D62" s="252"/>
      <c r="E62" s="253" t="s">
        <v>53</v>
      </c>
      <c r="F62" s="272"/>
      <c r="G62" s="267">
        <f t="shared" si="3"/>
        <v>181.78571428571431</v>
      </c>
      <c r="H62" s="268"/>
      <c r="I62" s="83"/>
      <c r="K62" s="228">
        <v>181.78571428571431</v>
      </c>
      <c r="L62"/>
      <c r="M62"/>
      <c r="N62"/>
      <c r="O62"/>
    </row>
    <row r="63" spans="3:15">
      <c r="C63" s="254" t="s">
        <v>38</v>
      </c>
      <c r="D63" s="255"/>
      <c r="E63" s="255"/>
      <c r="F63" s="281"/>
      <c r="G63" s="289">
        <f t="shared" si="3"/>
        <v>28.099999999999994</v>
      </c>
      <c r="H63" s="290"/>
      <c r="I63" s="83"/>
      <c r="K63" s="87">
        <v>28.099999999999994</v>
      </c>
      <c r="L63"/>
      <c r="M63"/>
      <c r="N63"/>
      <c r="O63"/>
    </row>
    <row r="64" spans="3:15" ht="16" thickBot="1">
      <c r="C64" s="249" t="s">
        <v>39</v>
      </c>
      <c r="D64" s="250"/>
      <c r="E64" s="250"/>
      <c r="F64" s="282"/>
      <c r="G64" s="291">
        <f t="shared" si="3"/>
        <v>142.75</v>
      </c>
      <c r="H64" s="292"/>
      <c r="I64" s="83"/>
      <c r="K64" s="87">
        <v>142.75</v>
      </c>
      <c r="L64"/>
      <c r="M64"/>
      <c r="N64"/>
      <c r="O64"/>
    </row>
    <row r="67" spans="3:3">
      <c r="C67" s="74" t="s">
        <v>56</v>
      </c>
    </row>
  </sheetData>
  <mergeCells count="135">
    <mergeCell ref="C63:F63"/>
    <mergeCell ref="G63:H63"/>
    <mergeCell ref="C64:F64"/>
    <mergeCell ref="G64:H64"/>
    <mergeCell ref="C61:D61"/>
    <mergeCell ref="E61:F61"/>
    <mergeCell ref="G61:H61"/>
    <mergeCell ref="C62:D62"/>
    <mergeCell ref="E62:F62"/>
    <mergeCell ref="G62:H62"/>
    <mergeCell ref="C59:D59"/>
    <mergeCell ref="E59:F59"/>
    <mergeCell ref="G59:H59"/>
    <mergeCell ref="C60:D60"/>
    <mergeCell ref="E60:F60"/>
    <mergeCell ref="G60:H60"/>
    <mergeCell ref="C57:D57"/>
    <mergeCell ref="E57:F57"/>
    <mergeCell ref="G57:H57"/>
    <mergeCell ref="C58:D58"/>
    <mergeCell ref="E58:F58"/>
    <mergeCell ref="G58:H58"/>
    <mergeCell ref="C55:D55"/>
    <mergeCell ref="E55:F55"/>
    <mergeCell ref="G55:H55"/>
    <mergeCell ref="C56:D56"/>
    <mergeCell ref="E56:F56"/>
    <mergeCell ref="G56:H56"/>
    <mergeCell ref="C53:D53"/>
    <mergeCell ref="E53:F53"/>
    <mergeCell ref="G53:H53"/>
    <mergeCell ref="C54:D54"/>
    <mergeCell ref="E54:F54"/>
    <mergeCell ref="G54:H54"/>
    <mergeCell ref="C51:D51"/>
    <mergeCell ref="E51:F51"/>
    <mergeCell ref="G51:H51"/>
    <mergeCell ref="C52:D52"/>
    <mergeCell ref="E52:F52"/>
    <mergeCell ref="G52:H52"/>
    <mergeCell ref="C48:I48"/>
    <mergeCell ref="C49:D49"/>
    <mergeCell ref="E49:F49"/>
    <mergeCell ref="G49:H49"/>
    <mergeCell ref="C50:D50"/>
    <mergeCell ref="E50:F50"/>
    <mergeCell ref="G50:H50"/>
    <mergeCell ref="C46:F46"/>
    <mergeCell ref="C47:F47"/>
    <mergeCell ref="C43:D43"/>
    <mergeCell ref="E43:F43"/>
    <mergeCell ref="C44:D44"/>
    <mergeCell ref="E44:F44"/>
    <mergeCell ref="C45:D45"/>
    <mergeCell ref="E45:F45"/>
    <mergeCell ref="G47:H47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30:D30"/>
    <mergeCell ref="E30:F30"/>
    <mergeCell ref="C31:D31"/>
    <mergeCell ref="E31:F31"/>
    <mergeCell ref="C32:D32"/>
    <mergeCell ref="E32:F32"/>
    <mergeCell ref="C33:F33"/>
    <mergeCell ref="C34:F34"/>
    <mergeCell ref="C35:I35"/>
    <mergeCell ref="C36:D36"/>
    <mergeCell ref="E36:F36"/>
    <mergeCell ref="G30:H30"/>
    <mergeCell ref="G31:H31"/>
    <mergeCell ref="G32:H32"/>
    <mergeCell ref="G33:H33"/>
    <mergeCell ref="G34:H34"/>
    <mergeCell ref="G36:H36"/>
    <mergeCell ref="G37:H37"/>
    <mergeCell ref="G38:H38"/>
    <mergeCell ref="G39:H39"/>
    <mergeCell ref="G40:H40"/>
    <mergeCell ref="G41:H41"/>
    <mergeCell ref="E21:F21"/>
    <mergeCell ref="C22:D22"/>
    <mergeCell ref="E22:F22"/>
    <mergeCell ref="C23:D23"/>
    <mergeCell ref="E23:F23"/>
    <mergeCell ref="G28:H28"/>
    <mergeCell ref="G29:H29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G24:H24"/>
    <mergeCell ref="G25:H25"/>
    <mergeCell ref="G26:H26"/>
    <mergeCell ref="G27:H27"/>
    <mergeCell ref="G42:H42"/>
    <mergeCell ref="G43:H43"/>
    <mergeCell ref="G44:H44"/>
    <mergeCell ref="G45:H45"/>
    <mergeCell ref="G46:H46"/>
    <mergeCell ref="A1:J1"/>
    <mergeCell ref="A2:J2"/>
    <mergeCell ref="A3:J3"/>
    <mergeCell ref="A6:A11"/>
    <mergeCell ref="C17:F17"/>
    <mergeCell ref="G17:H17"/>
    <mergeCell ref="G21:H21"/>
    <mergeCell ref="G22:H22"/>
    <mergeCell ref="G23:H23"/>
    <mergeCell ref="C29:D29"/>
    <mergeCell ref="E29:F29"/>
    <mergeCell ref="C18:I18"/>
    <mergeCell ref="C19:D19"/>
    <mergeCell ref="E19:F19"/>
    <mergeCell ref="C20:D20"/>
    <mergeCell ref="E20:F20"/>
    <mergeCell ref="G19:H19"/>
    <mergeCell ref="G20:H20"/>
    <mergeCell ref="C21:D21"/>
  </mergeCells>
  <printOptions horizontalCentered="1"/>
  <pageMargins left="0.196850393700787" right="0.196850393700787" top="0.39370078740157499" bottom="0.59055118110236204" header="0" footer="0.196850393700787"/>
  <pageSetup scale="64" orientation="portrait" r:id="rId1"/>
  <headerFooter alignWithMargins="0">
    <oddFooter>&amp;L&amp;P
&amp;RMay 4, 2025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95FC-257C-406B-8E41-4E7DC8452F7A}">
  <sheetPr transitionEvaluation="1">
    <tabColor theme="9" tint="0.59999389629810485"/>
    <pageSetUpPr fitToPage="1"/>
  </sheetPr>
  <dimension ref="A1:GR51"/>
  <sheetViews>
    <sheetView defaultGridColor="0" view="pageBreakPreview" topLeftCell="A6" colorId="22" zoomScale="90" zoomScaleNormal="110" zoomScaleSheetLayoutView="90" workbookViewId="0">
      <selection activeCell="A6" sqref="A6:A11"/>
    </sheetView>
  </sheetViews>
  <sheetFormatPr defaultColWidth="9" defaultRowHeight="15.5"/>
  <cols>
    <col min="1" max="1" width="10" style="3" customWidth="1"/>
    <col min="2" max="2" width="2.84375" style="26" customWidth="1"/>
    <col min="3" max="3" width="10.07421875" style="3" customWidth="1"/>
    <col min="4" max="4" width="11" style="3" customWidth="1"/>
    <col min="5" max="8" width="10" style="3" customWidth="1"/>
    <col min="9" max="9" width="2.84375" style="3" customWidth="1"/>
    <col min="10" max="10" width="3.4609375" style="3" customWidth="1"/>
    <col min="11" max="13" width="9" style="89"/>
    <col min="14" max="14" width="17.07421875" style="89" customWidth="1"/>
    <col min="15" max="15" width="16.69140625" style="89" customWidth="1"/>
    <col min="16" max="16" width="9" style="89"/>
    <col min="17" max="16384" width="9" style="3"/>
  </cols>
  <sheetData>
    <row r="1" spans="1:200" ht="24" customHeight="1">
      <c r="A1" s="269" t="s">
        <v>2</v>
      </c>
      <c r="B1" s="269"/>
      <c r="C1" s="269"/>
      <c r="D1" s="269"/>
      <c r="E1" s="269"/>
      <c r="F1" s="269"/>
      <c r="G1" s="269"/>
      <c r="H1" s="269"/>
      <c r="I1" s="269"/>
      <c r="J1" s="269"/>
    </row>
    <row r="2" spans="1:200" ht="21.75" customHeight="1">
      <c r="A2" s="261" t="str">
        <f>'Colonist-6 Panel'!A2</f>
        <v>NET PRICE LIST (May 4, 2025)</v>
      </c>
      <c r="B2" s="261"/>
      <c r="C2" s="261"/>
      <c r="D2" s="261"/>
      <c r="E2" s="261"/>
      <c r="F2" s="261"/>
      <c r="G2" s="261"/>
      <c r="H2" s="261"/>
      <c r="I2" s="261"/>
      <c r="J2" s="261"/>
    </row>
    <row r="3" spans="1:200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  <c r="H3" s="262"/>
      <c r="I3" s="262"/>
      <c r="J3" s="262"/>
    </row>
    <row r="4" spans="1:200" ht="11.25" customHeight="1">
      <c r="C4" s="1"/>
      <c r="D4" s="2"/>
      <c r="E4" s="2"/>
      <c r="F4" s="2"/>
      <c r="G4" s="2"/>
      <c r="H4" s="1"/>
      <c r="I4" s="1"/>
    </row>
    <row r="5" spans="1:200" ht="13.5" customHeight="1">
      <c r="C5" s="10"/>
      <c r="D5" s="10"/>
      <c r="E5" s="10"/>
      <c r="F5" s="10"/>
      <c r="G5" s="10"/>
      <c r="H5" s="11"/>
      <c r="I5" s="8"/>
    </row>
    <row r="6" spans="1:200" ht="20.25" customHeight="1">
      <c r="A6" s="263" t="s">
        <v>43</v>
      </c>
      <c r="B6" s="1"/>
      <c r="C6" s="1"/>
      <c r="D6" s="1"/>
      <c r="E6" s="1"/>
      <c r="F6" s="1"/>
      <c r="G6" s="1"/>
      <c r="H6" s="1"/>
    </row>
    <row r="7" spans="1:200" ht="20.25" customHeight="1">
      <c r="A7" s="263"/>
      <c r="B7" s="1"/>
      <c r="C7" s="1"/>
      <c r="D7" s="1"/>
      <c r="E7" s="1"/>
      <c r="F7" s="1"/>
      <c r="G7" s="1"/>
      <c r="H7" s="1"/>
    </row>
    <row r="8" spans="1:200" ht="15.75" customHeight="1">
      <c r="A8" s="263"/>
      <c r="B8" s="1"/>
      <c r="C8" s="1"/>
      <c r="D8" s="1"/>
      <c r="E8" s="1"/>
      <c r="F8" s="1"/>
      <c r="G8" s="1"/>
      <c r="H8" s="1"/>
    </row>
    <row r="9" spans="1:200" ht="15.75" customHeight="1">
      <c r="A9" s="263"/>
      <c r="B9" s="1"/>
      <c r="C9" s="1"/>
      <c r="D9" s="1"/>
      <c r="E9" s="1"/>
      <c r="F9" s="1"/>
      <c r="G9" s="1"/>
      <c r="H9" s="1"/>
    </row>
    <row r="10" spans="1:200" ht="20.25" customHeight="1">
      <c r="A10" s="263"/>
      <c r="B10" s="1"/>
      <c r="C10" s="1"/>
      <c r="D10" s="1"/>
      <c r="E10" s="1"/>
      <c r="F10" s="1"/>
      <c r="G10" s="1"/>
      <c r="H10" s="1"/>
    </row>
    <row r="11" spans="1:200" ht="20.25" customHeight="1">
      <c r="A11" s="263"/>
      <c r="B11" s="1"/>
      <c r="C11" s="1"/>
      <c r="D11" s="1"/>
      <c r="E11" s="1"/>
      <c r="F11" s="1"/>
      <c r="G11" s="1"/>
      <c r="H11" s="1"/>
    </row>
    <row r="12" spans="1:200" ht="9" customHeight="1" thickBot="1">
      <c r="A12" s="26"/>
      <c r="B12" s="4"/>
      <c r="C12" s="5"/>
      <c r="D12" s="5"/>
      <c r="E12" s="5"/>
      <c r="F12" s="5"/>
      <c r="G12" s="6"/>
      <c r="H12" s="6"/>
    </row>
    <row r="13" spans="1:200" ht="38.25" customHeight="1" thickTop="1" thickBot="1">
      <c r="B13" s="16"/>
      <c r="C13" s="17" t="s">
        <v>44</v>
      </c>
      <c r="D13" s="72" t="s">
        <v>45</v>
      </c>
      <c r="E13" s="15" t="s">
        <v>46</v>
      </c>
      <c r="F13" s="15" t="s">
        <v>47</v>
      </c>
      <c r="G13" s="15" t="s">
        <v>48</v>
      </c>
      <c r="H13" s="72" t="s">
        <v>5</v>
      </c>
      <c r="I13"/>
      <c r="K13" s="91"/>
      <c r="L13" s="91" t="s">
        <v>139</v>
      </c>
      <c r="M13" s="91" t="s">
        <v>140</v>
      </c>
      <c r="N13" s="233" t="s">
        <v>143</v>
      </c>
      <c r="P13" s="9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</row>
    <row r="14" spans="1:200" ht="16.5" thickTop="1" thickBot="1">
      <c r="A14" s="21" t="s">
        <v>6</v>
      </c>
      <c r="C14" s="19" t="s">
        <v>7</v>
      </c>
      <c r="D14" s="19" t="s">
        <v>49</v>
      </c>
      <c r="E14" s="19" t="s">
        <v>50</v>
      </c>
      <c r="F14" s="19" t="s">
        <v>7</v>
      </c>
      <c r="G14" s="19" t="s">
        <v>7</v>
      </c>
      <c r="H14" s="19" t="s">
        <v>7</v>
      </c>
      <c r="I14"/>
      <c r="K14" s="91" t="s">
        <v>141</v>
      </c>
      <c r="L14" s="91">
        <v>62</v>
      </c>
      <c r="M14" s="232">
        <v>0.06</v>
      </c>
      <c r="N14" s="91">
        <f>ROUNDUP(L14*(1+M14),0)</f>
        <v>66</v>
      </c>
      <c r="P14" s="9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</row>
    <row r="15" spans="1:200" ht="16.5" thickTop="1" thickBot="1">
      <c r="A15" s="21" t="s">
        <v>8</v>
      </c>
      <c r="C15" s="19" t="s">
        <v>49</v>
      </c>
      <c r="D15" s="19" t="s">
        <v>51</v>
      </c>
      <c r="E15" s="20" t="s">
        <v>50</v>
      </c>
      <c r="F15" s="20" t="s">
        <v>50</v>
      </c>
      <c r="G15" s="20" t="s">
        <v>50</v>
      </c>
      <c r="H15" s="19" t="s">
        <v>7</v>
      </c>
      <c r="I15"/>
      <c r="K15" s="91" t="s">
        <v>142</v>
      </c>
      <c r="L15" s="91">
        <v>75</v>
      </c>
      <c r="M15" s="232">
        <v>0.06</v>
      </c>
      <c r="N15" s="91">
        <f>ROUNDUP(L15*(1+M15),0)</f>
        <v>80</v>
      </c>
      <c r="P15" s="9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</row>
    <row r="16" spans="1:200" ht="16.5" customHeight="1" thickTop="1" thickBot="1">
      <c r="B16" s="7"/>
      <c r="C16" s="9"/>
      <c r="D16" s="9"/>
      <c r="E16" s="10"/>
      <c r="F16" s="9"/>
      <c r="G16" s="9"/>
      <c r="H16" s="9"/>
      <c r="I16" s="9"/>
      <c r="J16" s="12"/>
      <c r="K16" s="91"/>
      <c r="L16" s="91"/>
      <c r="M16" s="91"/>
      <c r="N16" s="91"/>
      <c r="O16" s="91"/>
      <c r="P16" s="9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</row>
    <row r="17" spans="3:200" ht="36" customHeight="1" thickTop="1" thickBot="1">
      <c r="C17" s="264" t="s">
        <v>9</v>
      </c>
      <c r="D17" s="265"/>
      <c r="E17" s="265"/>
      <c r="F17" s="266"/>
      <c r="G17" s="270" t="str">
        <f>'Colonist-6 Panel'!E16</f>
        <v>Net Price</v>
      </c>
      <c r="H17" s="271"/>
      <c r="I17" s="125"/>
      <c r="J17" s="12"/>
      <c r="K17" s="91"/>
      <c r="L17" s="91"/>
      <c r="M17" s="91"/>
      <c r="N17" s="91"/>
      <c r="O17" s="91"/>
      <c r="P17" s="9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</row>
    <row r="18" spans="3:200" ht="30" customHeight="1" thickTop="1" thickBot="1">
      <c r="C18" s="293" t="s">
        <v>57</v>
      </c>
      <c r="D18" s="293"/>
      <c r="E18" s="293"/>
      <c r="F18" s="293"/>
      <c r="G18" s="293"/>
      <c r="H18" s="293"/>
      <c r="I18" s="256"/>
      <c r="J18" s="12"/>
      <c r="K18" s="234" t="s">
        <v>6</v>
      </c>
      <c r="L18" s="234" t="s">
        <v>138</v>
      </c>
      <c r="M18" s="234" t="s">
        <v>144</v>
      </c>
      <c r="N18" s="91"/>
      <c r="O18" s="91"/>
      <c r="P18" s="9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</row>
    <row r="19" spans="3:200">
      <c r="C19" s="257" t="s">
        <v>12</v>
      </c>
      <c r="D19" s="258"/>
      <c r="E19" s="259" t="s">
        <v>13</v>
      </c>
      <c r="F19" s="274"/>
      <c r="G19" s="294">
        <f t="shared" ref="G19:G31" si="0">M19</f>
        <v>129.26530612244898</v>
      </c>
      <c r="H19" s="295"/>
      <c r="I19" s="83"/>
      <c r="J19" s="124"/>
      <c r="K19" s="91">
        <f>'Moulded Panel'!K19</f>
        <v>63.265306122448983</v>
      </c>
      <c r="L19" s="91">
        <v>66</v>
      </c>
      <c r="M19" s="147">
        <f>K19+L19</f>
        <v>129.26530612244898</v>
      </c>
      <c r="N19" s="101"/>
      <c r="O19" s="101"/>
      <c r="P19" s="91"/>
      <c r="Q19" s="94"/>
      <c r="R19" s="94"/>
      <c r="S19" s="94"/>
      <c r="T19" s="94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</row>
    <row r="20" spans="3:200">
      <c r="C20" s="251" t="s">
        <v>14</v>
      </c>
      <c r="D20" s="252"/>
      <c r="E20" s="253" t="s">
        <v>15</v>
      </c>
      <c r="F20" s="272"/>
      <c r="G20" s="289">
        <f t="shared" si="0"/>
        <v>129.26530612244898</v>
      </c>
      <c r="H20" s="290"/>
      <c r="I20" s="83"/>
      <c r="J20" s="124"/>
      <c r="K20" s="91">
        <f>'Moulded Panel'!K20</f>
        <v>63.265306122448983</v>
      </c>
      <c r="L20" s="91">
        <v>66</v>
      </c>
      <c r="M20" s="147">
        <f t="shared" ref="M20:M31" si="1">K20+L20</f>
        <v>129.26530612244898</v>
      </c>
      <c r="N20" s="101"/>
      <c r="O20" s="101"/>
      <c r="P20" s="91"/>
      <c r="Q20" s="94"/>
      <c r="R20" s="94"/>
      <c r="S20" s="94"/>
      <c r="T20" s="94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</row>
    <row r="21" spans="3:200">
      <c r="C21" s="251" t="s">
        <v>16</v>
      </c>
      <c r="D21" s="252"/>
      <c r="E21" s="253" t="s">
        <v>17</v>
      </c>
      <c r="F21" s="272"/>
      <c r="G21" s="289">
        <f t="shared" si="0"/>
        <v>129.26530612244898</v>
      </c>
      <c r="H21" s="290"/>
      <c r="I21" s="83"/>
      <c r="J21" s="124"/>
      <c r="K21" s="91">
        <f>'Moulded Panel'!K21</f>
        <v>63.265306122448983</v>
      </c>
      <c r="L21" s="91">
        <v>66</v>
      </c>
      <c r="M21" s="147">
        <f t="shared" si="1"/>
        <v>129.26530612244898</v>
      </c>
      <c r="N21" s="101"/>
      <c r="O21" s="101"/>
      <c r="P21" s="91"/>
      <c r="Q21" s="94"/>
      <c r="R21" s="94"/>
      <c r="S21" s="94"/>
      <c r="T21" s="94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</row>
    <row r="22" spans="3:200">
      <c r="C22" s="251" t="s">
        <v>18</v>
      </c>
      <c r="D22" s="252"/>
      <c r="E22" s="253" t="s">
        <v>19</v>
      </c>
      <c r="F22" s="272"/>
      <c r="G22" s="289">
        <f t="shared" si="0"/>
        <v>129.26530612244898</v>
      </c>
      <c r="H22" s="290"/>
      <c r="I22" s="83"/>
      <c r="J22" s="124"/>
      <c r="K22" s="91">
        <f>'Moulded Panel'!K22</f>
        <v>63.265306122448983</v>
      </c>
      <c r="L22" s="91">
        <v>66</v>
      </c>
      <c r="M22" s="147">
        <f t="shared" si="1"/>
        <v>129.26530612244898</v>
      </c>
      <c r="N22" s="101"/>
      <c r="O22" s="101"/>
      <c r="P22" s="91"/>
      <c r="Q22" s="94"/>
      <c r="R22" s="94"/>
      <c r="S22" s="94"/>
      <c r="T22" s="94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</row>
    <row r="23" spans="3:200">
      <c r="C23" s="251" t="s">
        <v>20</v>
      </c>
      <c r="D23" s="252"/>
      <c r="E23" s="253" t="s">
        <v>21</v>
      </c>
      <c r="F23" s="272"/>
      <c r="G23" s="289">
        <f t="shared" si="0"/>
        <v>132.58163265306121</v>
      </c>
      <c r="H23" s="290"/>
      <c r="I23" s="83"/>
      <c r="J23" s="124"/>
      <c r="K23" s="91">
        <f>'Moulded Panel'!K23</f>
        <v>66.58163265306122</v>
      </c>
      <c r="L23" s="91">
        <v>66</v>
      </c>
      <c r="M23" s="147">
        <f t="shared" si="1"/>
        <v>132.58163265306121</v>
      </c>
      <c r="N23" s="101"/>
      <c r="O23" s="101"/>
      <c r="P23" s="91"/>
      <c r="Q23" s="94"/>
      <c r="R23" s="94"/>
      <c r="S23" s="94"/>
      <c r="T23" s="94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</row>
    <row r="24" spans="3:200">
      <c r="C24" s="251" t="s">
        <v>22</v>
      </c>
      <c r="D24" s="252"/>
      <c r="E24" s="253" t="s">
        <v>23</v>
      </c>
      <c r="F24" s="272"/>
      <c r="G24" s="289">
        <f t="shared" si="0"/>
        <v>132.58163265306121</v>
      </c>
      <c r="H24" s="290"/>
      <c r="I24" s="83"/>
      <c r="J24" s="124"/>
      <c r="K24" s="91">
        <f>'Moulded Panel'!K24</f>
        <v>66.58163265306122</v>
      </c>
      <c r="L24" s="91">
        <v>66</v>
      </c>
      <c r="M24" s="147">
        <f t="shared" si="1"/>
        <v>132.58163265306121</v>
      </c>
      <c r="N24" s="101"/>
      <c r="O24" s="101"/>
      <c r="P24" s="91"/>
      <c r="Q24" s="94"/>
      <c r="R24" s="94"/>
      <c r="S24" s="94"/>
      <c r="T24" s="94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</row>
    <row r="25" spans="3:200">
      <c r="C25" s="251" t="s">
        <v>24</v>
      </c>
      <c r="D25" s="252"/>
      <c r="E25" s="253" t="s">
        <v>25</v>
      </c>
      <c r="F25" s="272"/>
      <c r="G25" s="289">
        <f t="shared" si="0"/>
        <v>132.58163265306121</v>
      </c>
      <c r="H25" s="290"/>
      <c r="I25" s="83"/>
      <c r="J25" s="124"/>
      <c r="K25" s="91">
        <f>'Moulded Panel'!K25</f>
        <v>66.58163265306122</v>
      </c>
      <c r="L25" s="91">
        <v>66</v>
      </c>
      <c r="M25" s="147">
        <f t="shared" si="1"/>
        <v>132.58163265306121</v>
      </c>
      <c r="N25" s="101"/>
      <c r="O25" s="101"/>
      <c r="P25" s="91"/>
      <c r="Q25" s="94"/>
      <c r="R25" s="94"/>
      <c r="S25" s="94"/>
      <c r="T25" s="94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</row>
    <row r="26" spans="3:200" s="30" customFormat="1">
      <c r="C26" s="251" t="s">
        <v>26</v>
      </c>
      <c r="D26" s="252"/>
      <c r="E26" s="253" t="s">
        <v>27</v>
      </c>
      <c r="F26" s="272"/>
      <c r="G26" s="289">
        <f t="shared" si="0"/>
        <v>134.82653061224491</v>
      </c>
      <c r="H26" s="290"/>
      <c r="I26" s="83"/>
      <c r="J26" s="124"/>
      <c r="K26" s="91">
        <f>'Moulded Panel'!K26</f>
        <v>68.826530612244909</v>
      </c>
      <c r="L26" s="91">
        <v>66</v>
      </c>
      <c r="M26" s="147">
        <f t="shared" si="1"/>
        <v>134.82653061224491</v>
      </c>
      <c r="N26" s="101"/>
      <c r="O26" s="101"/>
      <c r="P26" s="91"/>
      <c r="Q26" s="94"/>
      <c r="R26" s="94"/>
      <c r="S26" s="94"/>
      <c r="T26" s="94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</row>
    <row r="27" spans="3:200" s="30" customFormat="1">
      <c r="C27" s="251" t="s">
        <v>28</v>
      </c>
      <c r="D27" s="252"/>
      <c r="E27" s="253" t="s">
        <v>29</v>
      </c>
      <c r="F27" s="272"/>
      <c r="G27" s="289">
        <f t="shared" si="0"/>
        <v>134.82653061224491</v>
      </c>
      <c r="H27" s="290"/>
      <c r="I27" s="83"/>
      <c r="J27" s="124"/>
      <c r="K27" s="91">
        <f>'Moulded Panel'!K27</f>
        <v>68.826530612244909</v>
      </c>
      <c r="L27" s="91">
        <v>66</v>
      </c>
      <c r="M27" s="147">
        <f t="shared" si="1"/>
        <v>134.82653061224491</v>
      </c>
      <c r="N27" s="101"/>
      <c r="O27" s="101"/>
      <c r="P27" s="91"/>
      <c r="Q27" s="94"/>
      <c r="R27" s="94"/>
      <c r="S27" s="94"/>
      <c r="T27" s="94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</row>
    <row r="28" spans="3:200" ht="15.75" customHeight="1">
      <c r="C28" s="251" t="s">
        <v>30</v>
      </c>
      <c r="D28" s="252"/>
      <c r="E28" s="253" t="s">
        <v>31</v>
      </c>
      <c r="F28" s="272"/>
      <c r="G28" s="289">
        <f t="shared" si="0"/>
        <v>134.82653061224491</v>
      </c>
      <c r="H28" s="290"/>
      <c r="I28" s="83"/>
      <c r="J28" s="124"/>
      <c r="K28" s="91">
        <f>'Moulded Panel'!K28</f>
        <v>68.826530612244909</v>
      </c>
      <c r="L28" s="91">
        <v>66</v>
      </c>
      <c r="M28" s="147">
        <f t="shared" si="1"/>
        <v>134.82653061224491</v>
      </c>
      <c r="N28" s="101"/>
      <c r="O28" s="101"/>
      <c r="P28" s="91"/>
      <c r="Q28" s="94"/>
      <c r="R28" s="94"/>
      <c r="S28" s="94"/>
      <c r="T28" s="94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</row>
    <row r="29" spans="3:200">
      <c r="C29" s="251" t="s">
        <v>32</v>
      </c>
      <c r="D29" s="252"/>
      <c r="E29" s="253" t="s">
        <v>33</v>
      </c>
      <c r="F29" s="272"/>
      <c r="G29" s="289">
        <f t="shared" si="0"/>
        <v>137.17346938775512</v>
      </c>
      <c r="H29" s="290"/>
      <c r="I29" s="83"/>
      <c r="J29" s="124"/>
      <c r="K29" s="91">
        <f>'Moulded Panel'!K29</f>
        <v>71.173469387755105</v>
      </c>
      <c r="L29" s="91">
        <v>66</v>
      </c>
      <c r="M29" s="147">
        <f t="shared" si="1"/>
        <v>137.17346938775512</v>
      </c>
      <c r="N29" s="101"/>
      <c r="O29" s="101"/>
      <c r="P29" s="91"/>
      <c r="Q29" s="94"/>
      <c r="R29" s="94"/>
      <c r="S29" s="94"/>
      <c r="T29" s="94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</row>
    <row r="30" spans="3:200">
      <c r="C30" s="251" t="s">
        <v>34</v>
      </c>
      <c r="D30" s="252"/>
      <c r="E30" s="253" t="s">
        <v>35</v>
      </c>
      <c r="F30" s="272"/>
      <c r="G30" s="289">
        <f t="shared" si="0"/>
        <v>140.48979591836735</v>
      </c>
      <c r="H30" s="290"/>
      <c r="I30" s="83"/>
      <c r="J30" s="124"/>
      <c r="K30" s="91">
        <f>'Moulded Panel'!K30</f>
        <v>74.489795918367349</v>
      </c>
      <c r="L30" s="91">
        <v>66</v>
      </c>
      <c r="M30" s="147">
        <f t="shared" si="1"/>
        <v>140.48979591836735</v>
      </c>
      <c r="N30" s="101"/>
      <c r="O30" s="101"/>
      <c r="Q30" s="94"/>
      <c r="R30" s="94"/>
      <c r="S30" s="94"/>
      <c r="T30" s="94"/>
    </row>
    <row r="31" spans="3:200" ht="16.149999999999999" customHeight="1">
      <c r="C31" s="251" t="s">
        <v>36</v>
      </c>
      <c r="D31" s="252"/>
      <c r="E31" s="253" t="s">
        <v>37</v>
      </c>
      <c r="F31" s="272"/>
      <c r="G31" s="289">
        <f t="shared" si="0"/>
        <v>140.48979591836735</v>
      </c>
      <c r="H31" s="290"/>
      <c r="I31" s="83"/>
      <c r="J31" s="124"/>
      <c r="K31" s="91">
        <f>'Moulded Panel'!K31</f>
        <v>74.489795918367349</v>
      </c>
      <c r="L31" s="91">
        <v>66</v>
      </c>
      <c r="M31" s="147">
        <f t="shared" si="1"/>
        <v>140.48979591836735</v>
      </c>
      <c r="N31" s="101"/>
      <c r="O31" s="101"/>
      <c r="Q31" s="94"/>
      <c r="R31" s="94"/>
      <c r="S31" s="94"/>
      <c r="T31" s="94"/>
    </row>
    <row r="32" spans="3:200" ht="16.149999999999999" customHeight="1">
      <c r="C32" s="254" t="s">
        <v>38</v>
      </c>
      <c r="D32" s="255"/>
      <c r="E32" s="255"/>
      <c r="F32" s="281"/>
      <c r="G32" s="289">
        <f>M32</f>
        <v>35.700000000000003</v>
      </c>
      <c r="H32" s="290"/>
      <c r="I32" s="83"/>
      <c r="J32" s="12"/>
      <c r="L32" s="91"/>
      <c r="M32" s="147">
        <v>35.700000000000003</v>
      </c>
      <c r="N32" s="101"/>
      <c r="O32" s="101"/>
      <c r="Q32" s="94"/>
      <c r="R32" s="94"/>
      <c r="S32" s="94"/>
      <c r="T32" s="94"/>
    </row>
    <row r="33" spans="3:20" ht="16.149999999999999" customHeight="1" thickBot="1">
      <c r="C33" s="249" t="s">
        <v>39</v>
      </c>
      <c r="D33" s="250"/>
      <c r="E33" s="250"/>
      <c r="F33" s="282"/>
      <c r="G33" s="287">
        <f>M33</f>
        <v>97.350000000000009</v>
      </c>
      <c r="H33" s="288"/>
      <c r="I33" s="83"/>
      <c r="J33" s="12"/>
      <c r="L33" s="91"/>
      <c r="M33" s="147">
        <v>97.350000000000009</v>
      </c>
      <c r="N33" s="101"/>
      <c r="O33" s="101"/>
      <c r="Q33" s="94"/>
      <c r="R33" s="94"/>
      <c r="S33" s="94"/>
      <c r="T33" s="94"/>
    </row>
    <row r="34" spans="3:20" ht="30.75" customHeight="1" thickBot="1">
      <c r="C34" s="293" t="s">
        <v>58</v>
      </c>
      <c r="D34" s="293"/>
      <c r="E34" s="293"/>
      <c r="F34" s="293"/>
      <c r="G34" s="293"/>
      <c r="H34" s="293"/>
      <c r="I34" s="256"/>
      <c r="L34" s="91"/>
      <c r="M34" s="101"/>
      <c r="N34" s="101"/>
      <c r="O34" s="101"/>
      <c r="Q34" s="94"/>
      <c r="R34" s="94"/>
      <c r="S34" s="94"/>
      <c r="T34" s="94"/>
    </row>
    <row r="35" spans="3:20" ht="15" customHeight="1">
      <c r="C35" s="257" t="s">
        <v>12</v>
      </c>
      <c r="D35" s="258"/>
      <c r="E35" s="259" t="s">
        <v>13</v>
      </c>
      <c r="F35" s="274"/>
      <c r="G35" s="294">
        <f t="shared" ref="G35:G47" si="2">M35</f>
        <v>143.26530612244898</v>
      </c>
      <c r="H35" s="295"/>
      <c r="I35" s="83"/>
      <c r="J35" s="123"/>
      <c r="K35" s="89">
        <f>'Moulded Panel'!K19</f>
        <v>63.265306122448983</v>
      </c>
      <c r="L35" s="91">
        <v>80</v>
      </c>
      <c r="M35" s="147">
        <f>K35+L35</f>
        <v>143.26530612244898</v>
      </c>
      <c r="N35" s="101"/>
      <c r="O35" s="101"/>
      <c r="Q35" s="94"/>
      <c r="R35" s="94"/>
      <c r="S35" s="94"/>
      <c r="T35" s="94"/>
    </row>
    <row r="36" spans="3:20" ht="15" customHeight="1">
      <c r="C36" s="251" t="s">
        <v>14</v>
      </c>
      <c r="D36" s="252"/>
      <c r="E36" s="253" t="s">
        <v>15</v>
      </c>
      <c r="F36" s="272"/>
      <c r="G36" s="289">
        <f t="shared" si="2"/>
        <v>143.26530612244898</v>
      </c>
      <c r="H36" s="290"/>
      <c r="I36" s="83"/>
      <c r="J36" s="123"/>
      <c r="K36" s="89">
        <f>'Moulded Panel'!K20</f>
        <v>63.265306122448983</v>
      </c>
      <c r="L36" s="91">
        <v>80</v>
      </c>
      <c r="M36" s="147">
        <f t="shared" ref="M36:M47" si="3">K36+L36</f>
        <v>143.26530612244898</v>
      </c>
      <c r="N36" s="101"/>
      <c r="O36" s="101"/>
      <c r="Q36" s="94"/>
      <c r="R36" s="94"/>
      <c r="S36" s="94"/>
      <c r="T36" s="94"/>
    </row>
    <row r="37" spans="3:20" ht="15" customHeight="1">
      <c r="C37" s="251" t="s">
        <v>16</v>
      </c>
      <c r="D37" s="252"/>
      <c r="E37" s="253" t="s">
        <v>17</v>
      </c>
      <c r="F37" s="272"/>
      <c r="G37" s="289">
        <f t="shared" si="2"/>
        <v>143.26530612244898</v>
      </c>
      <c r="H37" s="290"/>
      <c r="I37" s="83"/>
      <c r="J37" s="123"/>
      <c r="K37" s="89">
        <f>'Moulded Panel'!K21</f>
        <v>63.265306122448983</v>
      </c>
      <c r="L37" s="91">
        <v>80</v>
      </c>
      <c r="M37" s="147">
        <f t="shared" si="3"/>
        <v>143.26530612244898</v>
      </c>
      <c r="N37" s="101"/>
      <c r="O37" s="101"/>
      <c r="Q37" s="94"/>
      <c r="R37" s="94"/>
      <c r="S37" s="94"/>
      <c r="T37" s="94"/>
    </row>
    <row r="38" spans="3:20" ht="15" customHeight="1">
      <c r="C38" s="251" t="s">
        <v>18</v>
      </c>
      <c r="D38" s="252"/>
      <c r="E38" s="253" t="s">
        <v>19</v>
      </c>
      <c r="F38" s="272"/>
      <c r="G38" s="289">
        <f t="shared" si="2"/>
        <v>143.26530612244898</v>
      </c>
      <c r="H38" s="290"/>
      <c r="I38" s="83"/>
      <c r="J38" s="123"/>
      <c r="K38" s="89">
        <f>'Moulded Panel'!K22</f>
        <v>63.265306122448983</v>
      </c>
      <c r="L38" s="91">
        <v>80</v>
      </c>
      <c r="M38" s="147">
        <f t="shared" si="3"/>
        <v>143.26530612244898</v>
      </c>
      <c r="N38" s="101"/>
      <c r="O38" s="101"/>
      <c r="Q38" s="94"/>
      <c r="R38" s="94"/>
      <c r="S38" s="94"/>
      <c r="T38" s="94"/>
    </row>
    <row r="39" spans="3:20" ht="15" customHeight="1">
      <c r="C39" s="251" t="s">
        <v>20</v>
      </c>
      <c r="D39" s="252"/>
      <c r="E39" s="253" t="s">
        <v>21</v>
      </c>
      <c r="F39" s="272"/>
      <c r="G39" s="289">
        <f t="shared" si="2"/>
        <v>146.58163265306121</v>
      </c>
      <c r="H39" s="290"/>
      <c r="I39" s="83"/>
      <c r="J39" s="123"/>
      <c r="K39" s="89">
        <f>'Moulded Panel'!K23</f>
        <v>66.58163265306122</v>
      </c>
      <c r="L39" s="91">
        <v>80</v>
      </c>
      <c r="M39" s="147">
        <f t="shared" si="3"/>
        <v>146.58163265306121</v>
      </c>
      <c r="N39" s="101"/>
      <c r="O39" s="101"/>
      <c r="Q39" s="94"/>
      <c r="R39" s="94"/>
      <c r="S39" s="94"/>
      <c r="T39" s="94"/>
    </row>
    <row r="40" spans="3:20" ht="15" customHeight="1">
      <c r="C40" s="251" t="s">
        <v>22</v>
      </c>
      <c r="D40" s="252"/>
      <c r="E40" s="253" t="s">
        <v>23</v>
      </c>
      <c r="F40" s="272"/>
      <c r="G40" s="289">
        <f t="shared" si="2"/>
        <v>146.58163265306121</v>
      </c>
      <c r="H40" s="290"/>
      <c r="I40" s="83"/>
      <c r="J40" s="123"/>
      <c r="K40" s="89">
        <f>'Moulded Panel'!K24</f>
        <v>66.58163265306122</v>
      </c>
      <c r="L40" s="91">
        <v>80</v>
      </c>
      <c r="M40" s="147">
        <f t="shared" si="3"/>
        <v>146.58163265306121</v>
      </c>
      <c r="N40" s="101"/>
      <c r="O40" s="101"/>
      <c r="Q40" s="94"/>
      <c r="R40" s="94"/>
      <c r="S40" s="94"/>
      <c r="T40" s="94"/>
    </row>
    <row r="41" spans="3:20" ht="15" customHeight="1">
      <c r="C41" s="251" t="s">
        <v>24</v>
      </c>
      <c r="D41" s="252"/>
      <c r="E41" s="253" t="s">
        <v>25</v>
      </c>
      <c r="F41" s="272"/>
      <c r="G41" s="289">
        <f t="shared" si="2"/>
        <v>146.58163265306121</v>
      </c>
      <c r="H41" s="290"/>
      <c r="I41" s="83"/>
      <c r="J41" s="123"/>
      <c r="K41" s="89">
        <f>'Moulded Panel'!K25</f>
        <v>66.58163265306122</v>
      </c>
      <c r="L41" s="91">
        <v>80</v>
      </c>
      <c r="M41" s="147">
        <f t="shared" si="3"/>
        <v>146.58163265306121</v>
      </c>
      <c r="N41" s="101"/>
      <c r="O41" s="101"/>
      <c r="Q41" s="94"/>
      <c r="R41" s="94"/>
      <c r="S41" s="94"/>
      <c r="T41" s="94"/>
    </row>
    <row r="42" spans="3:20" ht="15" customHeight="1">
      <c r="C42" s="251" t="s">
        <v>26</v>
      </c>
      <c r="D42" s="252"/>
      <c r="E42" s="253" t="s">
        <v>27</v>
      </c>
      <c r="F42" s="272"/>
      <c r="G42" s="289">
        <f t="shared" si="2"/>
        <v>148.82653061224491</v>
      </c>
      <c r="H42" s="290"/>
      <c r="I42" s="83"/>
      <c r="J42" s="123"/>
      <c r="K42" s="89">
        <f>'Moulded Panel'!K26</f>
        <v>68.826530612244909</v>
      </c>
      <c r="L42" s="91">
        <v>80</v>
      </c>
      <c r="M42" s="147">
        <f t="shared" si="3"/>
        <v>148.82653061224491</v>
      </c>
      <c r="N42" s="101"/>
      <c r="O42" s="101"/>
      <c r="Q42" s="94"/>
      <c r="R42" s="94"/>
      <c r="S42" s="94"/>
      <c r="T42" s="94"/>
    </row>
    <row r="43" spans="3:20" ht="15" customHeight="1">
      <c r="C43" s="251" t="s">
        <v>28</v>
      </c>
      <c r="D43" s="252"/>
      <c r="E43" s="253" t="s">
        <v>29</v>
      </c>
      <c r="F43" s="272"/>
      <c r="G43" s="289">
        <f t="shared" si="2"/>
        <v>148.82653061224491</v>
      </c>
      <c r="H43" s="290"/>
      <c r="I43" s="83"/>
      <c r="J43" s="123"/>
      <c r="K43" s="89">
        <f>'Moulded Panel'!K27</f>
        <v>68.826530612244909</v>
      </c>
      <c r="L43" s="91">
        <v>80</v>
      </c>
      <c r="M43" s="147">
        <f t="shared" si="3"/>
        <v>148.82653061224491</v>
      </c>
      <c r="N43" s="101"/>
      <c r="O43" s="101"/>
      <c r="Q43" s="94"/>
      <c r="R43" s="94"/>
      <c r="S43" s="94"/>
      <c r="T43" s="94"/>
    </row>
    <row r="44" spans="3:20">
      <c r="C44" s="251" t="s">
        <v>30</v>
      </c>
      <c r="D44" s="252"/>
      <c r="E44" s="253" t="s">
        <v>31</v>
      </c>
      <c r="F44" s="272"/>
      <c r="G44" s="289">
        <f t="shared" si="2"/>
        <v>148.82653061224491</v>
      </c>
      <c r="H44" s="290"/>
      <c r="I44" s="83"/>
      <c r="J44" s="123"/>
      <c r="K44" s="89">
        <f>'Moulded Panel'!K28</f>
        <v>68.826530612244909</v>
      </c>
      <c r="L44" s="91">
        <v>80</v>
      </c>
      <c r="M44" s="147">
        <f t="shared" si="3"/>
        <v>148.82653061224491</v>
      </c>
      <c r="N44" s="101"/>
      <c r="O44" s="101"/>
      <c r="Q44" s="94"/>
      <c r="R44" s="94"/>
      <c r="S44" s="94"/>
      <c r="T44" s="94"/>
    </row>
    <row r="45" spans="3:20">
      <c r="C45" s="251" t="s">
        <v>32</v>
      </c>
      <c r="D45" s="252"/>
      <c r="E45" s="253" t="s">
        <v>33</v>
      </c>
      <c r="F45" s="272"/>
      <c r="G45" s="289">
        <f t="shared" si="2"/>
        <v>151.17346938775512</v>
      </c>
      <c r="H45" s="290"/>
      <c r="I45" s="83"/>
      <c r="J45" s="123"/>
      <c r="K45" s="89">
        <f>'Moulded Panel'!K29</f>
        <v>71.173469387755105</v>
      </c>
      <c r="L45" s="91">
        <v>80</v>
      </c>
      <c r="M45" s="147">
        <f t="shared" si="3"/>
        <v>151.17346938775512</v>
      </c>
      <c r="N45" s="101"/>
      <c r="O45" s="101"/>
      <c r="Q45" s="94"/>
      <c r="R45" s="94"/>
      <c r="S45" s="94"/>
      <c r="T45" s="94"/>
    </row>
    <row r="46" spans="3:20">
      <c r="C46" s="251" t="s">
        <v>34</v>
      </c>
      <c r="D46" s="252"/>
      <c r="E46" s="253" t="s">
        <v>35</v>
      </c>
      <c r="F46" s="272"/>
      <c r="G46" s="289">
        <f t="shared" si="2"/>
        <v>154.48979591836735</v>
      </c>
      <c r="H46" s="290"/>
      <c r="I46" s="83"/>
      <c r="J46" s="123"/>
      <c r="K46" s="89">
        <f>'Moulded Panel'!K30</f>
        <v>74.489795918367349</v>
      </c>
      <c r="L46" s="91">
        <v>80</v>
      </c>
      <c r="M46" s="147">
        <f t="shared" si="3"/>
        <v>154.48979591836735</v>
      </c>
      <c r="N46" s="101"/>
      <c r="O46" s="101"/>
      <c r="Q46" s="94"/>
      <c r="R46" s="94"/>
      <c r="S46" s="94"/>
      <c r="T46" s="94"/>
    </row>
    <row r="47" spans="3:20" ht="16.149999999999999" customHeight="1">
      <c r="C47" s="251" t="s">
        <v>36</v>
      </c>
      <c r="D47" s="252"/>
      <c r="E47" s="253" t="s">
        <v>37</v>
      </c>
      <c r="F47" s="272"/>
      <c r="G47" s="289">
        <f t="shared" si="2"/>
        <v>154.48979591836735</v>
      </c>
      <c r="H47" s="290"/>
      <c r="I47" s="83"/>
      <c r="J47" s="123"/>
      <c r="K47" s="89">
        <f>'Moulded Panel'!K31</f>
        <v>74.489795918367349</v>
      </c>
      <c r="L47" s="91">
        <v>80</v>
      </c>
      <c r="M47" s="147">
        <f t="shared" si="3"/>
        <v>154.48979591836735</v>
      </c>
      <c r="N47" s="101"/>
      <c r="O47" s="101"/>
      <c r="Q47" s="94"/>
      <c r="R47" s="94"/>
      <c r="S47" s="94"/>
      <c r="T47" s="94"/>
    </row>
    <row r="48" spans="3:20" ht="16.149999999999999" customHeight="1">
      <c r="C48" s="254" t="s">
        <v>38</v>
      </c>
      <c r="D48" s="255"/>
      <c r="E48" s="255"/>
      <c r="F48" s="281"/>
      <c r="G48" s="267">
        <f>M48</f>
        <v>35.700000000000003</v>
      </c>
      <c r="H48" s="268"/>
      <c r="I48" s="83"/>
      <c r="L48" s="91"/>
      <c r="M48" s="147">
        <v>35.700000000000003</v>
      </c>
      <c r="N48" s="101"/>
      <c r="O48" s="101"/>
    </row>
    <row r="49" spans="2:15" ht="16.149999999999999" customHeight="1" thickBot="1">
      <c r="C49" s="249" t="s">
        <v>39</v>
      </c>
      <c r="D49" s="250"/>
      <c r="E49" s="250"/>
      <c r="F49" s="282"/>
      <c r="G49" s="287">
        <f>M49</f>
        <v>97.350000000000009</v>
      </c>
      <c r="H49" s="288"/>
      <c r="I49" s="83"/>
      <c r="L49" s="91"/>
      <c r="M49" s="147">
        <v>97.350000000000009</v>
      </c>
      <c r="N49" s="101"/>
      <c r="O49" s="101"/>
    </row>
    <row r="50" spans="2:15" ht="17.25" customHeight="1">
      <c r="B50" s="256"/>
      <c r="C50" s="256"/>
      <c r="D50" s="256"/>
      <c r="E50" s="256"/>
      <c r="F50" s="256"/>
      <c r="G50" s="256"/>
      <c r="H50" s="256"/>
      <c r="I50" s="25"/>
    </row>
    <row r="51" spans="2:15">
      <c r="C51" s="74" t="s">
        <v>56</v>
      </c>
    </row>
  </sheetData>
  <mergeCells count="95">
    <mergeCell ref="C48:F48"/>
    <mergeCell ref="C49:F49"/>
    <mergeCell ref="B50:H50"/>
    <mergeCell ref="C46:D46"/>
    <mergeCell ref="E46:F46"/>
    <mergeCell ref="C47:D47"/>
    <mergeCell ref="E47:F47"/>
    <mergeCell ref="G47:H47"/>
    <mergeCell ref="G48:H48"/>
    <mergeCell ref="G49:H4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33:F33"/>
    <mergeCell ref="C34:I34"/>
    <mergeCell ref="C35:D35"/>
    <mergeCell ref="E35:F35"/>
    <mergeCell ref="C36:D36"/>
    <mergeCell ref="E36:F36"/>
    <mergeCell ref="G35:H35"/>
    <mergeCell ref="G36:H36"/>
    <mergeCell ref="C37:D37"/>
    <mergeCell ref="E37:F37"/>
    <mergeCell ref="C38:D38"/>
    <mergeCell ref="E38:F38"/>
    <mergeCell ref="C39:D39"/>
    <mergeCell ref="E39:F39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F32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A1:J1"/>
    <mergeCell ref="A2:J2"/>
    <mergeCell ref="A3:J3"/>
    <mergeCell ref="A6:A11"/>
    <mergeCell ref="C17:F17"/>
    <mergeCell ref="G17:H17"/>
    <mergeCell ref="C18:I18"/>
    <mergeCell ref="C19:D19"/>
    <mergeCell ref="E19:F19"/>
    <mergeCell ref="C20:D20"/>
    <mergeCell ref="E20:F20"/>
    <mergeCell ref="G19:H19"/>
    <mergeCell ref="G20:H20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21:H21"/>
    <mergeCell ref="G22:H22"/>
    <mergeCell ref="G23:H23"/>
    <mergeCell ref="G24:H24"/>
    <mergeCell ref="G25:H25"/>
    <mergeCell ref="G31:H31"/>
    <mergeCell ref="G32:H32"/>
    <mergeCell ref="G33:H33"/>
    <mergeCell ref="G26:H26"/>
    <mergeCell ref="G27:H27"/>
    <mergeCell ref="G28:H28"/>
    <mergeCell ref="G29:H29"/>
    <mergeCell ref="G30:H30"/>
  </mergeCells>
  <printOptions horizontalCentered="1"/>
  <pageMargins left="0.196850393700787" right="0.196850393700787" top="0.39370078740157499" bottom="0.59055118110236204" header="0" footer="0.196850393700787"/>
  <pageSetup scale="83" orientation="portrait" r:id="rId1"/>
  <headerFooter alignWithMargins="0">
    <oddFooter>&amp;L&amp;P
&amp;RMay 4, 2025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0DA2-3977-4DED-B360-1CAF4D0FB4F0}">
  <sheetPr transitionEvaluation="1">
    <tabColor theme="9" tint="0.59999389629810485"/>
    <pageSetUpPr fitToPage="1"/>
  </sheetPr>
  <dimension ref="A1:GR51"/>
  <sheetViews>
    <sheetView defaultGridColor="0" view="pageBreakPreview" topLeftCell="A4" colorId="22" zoomScale="90" zoomScaleNormal="110" zoomScaleSheetLayoutView="90" workbookViewId="0">
      <selection activeCell="A6" sqref="A6:A11"/>
    </sheetView>
  </sheetViews>
  <sheetFormatPr defaultColWidth="9" defaultRowHeight="15.5"/>
  <cols>
    <col min="1" max="1" width="4.84375" style="3" customWidth="1"/>
    <col min="2" max="2" width="10.4609375" style="26" customWidth="1"/>
    <col min="3" max="3" width="9.23046875" style="3" customWidth="1"/>
    <col min="4" max="4" width="10.84375" style="3" customWidth="1"/>
    <col min="5" max="5" width="10.07421875" style="3" customWidth="1"/>
    <col min="6" max="8" width="9.69140625" style="3" customWidth="1"/>
    <col min="9" max="9" width="9" style="3" customWidth="1"/>
    <col min="10" max="10" width="9.84375" style="3" customWidth="1"/>
    <col min="11" max="11" width="5.84375" style="87" bestFit="1" customWidth="1"/>
    <col min="12" max="16" width="9" style="87"/>
    <col min="17" max="16384" width="9" style="3"/>
  </cols>
  <sheetData>
    <row r="1" spans="1:200" ht="24" customHeight="1">
      <c r="A1" s="269" t="s">
        <v>2</v>
      </c>
      <c r="B1" s="269"/>
      <c r="C1" s="269"/>
      <c r="D1" s="269"/>
      <c r="E1" s="269"/>
      <c r="F1" s="269"/>
      <c r="G1" s="269"/>
      <c r="H1" s="269"/>
      <c r="I1" s="269"/>
      <c r="J1" s="269"/>
    </row>
    <row r="2" spans="1:200" ht="21.75" customHeight="1">
      <c r="A2" s="296" t="str">
        <f>'Colonist-6 Panel'!A2</f>
        <v>NET PRICE LIST (May 4, 2025)</v>
      </c>
      <c r="B2" s="296"/>
      <c r="C2" s="296"/>
      <c r="D2" s="296"/>
      <c r="E2" s="296"/>
      <c r="F2" s="296"/>
      <c r="G2" s="296"/>
      <c r="H2" s="296"/>
      <c r="I2" s="296"/>
      <c r="J2" s="296"/>
    </row>
    <row r="3" spans="1:200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  <c r="H3" s="262"/>
      <c r="I3" s="262"/>
      <c r="J3" s="262"/>
    </row>
    <row r="4" spans="1:200" ht="11.25" customHeight="1">
      <c r="C4" s="1"/>
      <c r="D4" s="2"/>
      <c r="E4" s="2"/>
      <c r="F4" s="2"/>
      <c r="G4" s="2"/>
      <c r="H4" s="1"/>
      <c r="I4" s="1"/>
    </row>
    <row r="5" spans="1:200" ht="13.5" customHeight="1">
      <c r="C5" s="10"/>
      <c r="D5" s="10"/>
      <c r="E5" s="10"/>
      <c r="F5" s="10"/>
      <c r="G5" s="10"/>
      <c r="H5" s="11"/>
      <c r="I5" s="8"/>
    </row>
    <row r="6" spans="1:200" ht="20.25" customHeight="1">
      <c r="A6" s="263" t="s">
        <v>43</v>
      </c>
      <c r="B6" s="263"/>
      <c r="C6" s="1"/>
      <c r="D6" s="1"/>
      <c r="E6" s="1"/>
      <c r="F6" s="1"/>
      <c r="G6" s="1"/>
      <c r="H6" s="1"/>
      <c r="I6" s="1"/>
    </row>
    <row r="7" spans="1:200" ht="20.25" customHeight="1">
      <c r="A7" s="263"/>
      <c r="B7" s="263"/>
      <c r="C7" s="1"/>
      <c r="D7" s="1"/>
      <c r="E7" s="1"/>
      <c r="F7" s="1"/>
      <c r="G7" s="1"/>
      <c r="H7" s="1"/>
      <c r="I7" s="1"/>
    </row>
    <row r="8" spans="1:200" ht="15.75" customHeight="1">
      <c r="A8" s="263"/>
      <c r="B8" s="263"/>
      <c r="C8" s="1"/>
      <c r="D8" s="1"/>
      <c r="E8" s="1"/>
      <c r="F8" s="1"/>
      <c r="G8" s="1"/>
      <c r="H8" s="1"/>
      <c r="I8" s="1"/>
    </row>
    <row r="9" spans="1:200" ht="15.75" customHeight="1">
      <c r="A9" s="263"/>
      <c r="B9" s="263"/>
      <c r="C9" s="1"/>
      <c r="D9" s="1"/>
      <c r="E9" s="1"/>
      <c r="F9" s="1"/>
      <c r="G9" s="1"/>
      <c r="H9" s="1"/>
      <c r="I9" s="1"/>
    </row>
    <row r="10" spans="1:200" ht="20.25" customHeight="1">
      <c r="A10" s="263"/>
      <c r="B10" s="263"/>
      <c r="C10" s="1"/>
      <c r="D10" s="1"/>
      <c r="E10" s="1"/>
      <c r="F10" s="1"/>
      <c r="G10" s="1"/>
      <c r="H10" s="1"/>
      <c r="I10" s="1"/>
    </row>
    <row r="11" spans="1:200" ht="20.25" customHeight="1">
      <c r="A11" s="263"/>
      <c r="B11" s="263"/>
      <c r="C11" s="1"/>
      <c r="D11" s="1"/>
      <c r="E11" s="1"/>
      <c r="F11" s="1"/>
      <c r="G11" s="1"/>
      <c r="H11" s="1"/>
      <c r="I11" s="1"/>
    </row>
    <row r="12" spans="1:200" ht="9" customHeight="1" thickBot="1">
      <c r="A12" s="26"/>
      <c r="C12" s="4"/>
      <c r="D12" s="5"/>
      <c r="E12" s="5"/>
      <c r="F12" s="5"/>
      <c r="G12" s="5"/>
      <c r="H12" s="6"/>
      <c r="I12" s="6"/>
    </row>
    <row r="13" spans="1:200" ht="38.25" customHeight="1" thickTop="1" thickBot="1">
      <c r="B13" s="16"/>
      <c r="C13" s="17" t="s">
        <v>44</v>
      </c>
      <c r="D13" s="72" t="s">
        <v>45</v>
      </c>
      <c r="E13" s="15" t="s">
        <v>46</v>
      </c>
      <c r="F13" s="15" t="s">
        <v>47</v>
      </c>
      <c r="G13" s="15" t="s">
        <v>48</v>
      </c>
      <c r="H13" s="72" t="s">
        <v>5</v>
      </c>
      <c r="I13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</row>
    <row r="14" spans="1:200" ht="16.5" thickTop="1" thickBot="1">
      <c r="A14" s="21" t="s">
        <v>6</v>
      </c>
      <c r="C14" s="19" t="s">
        <v>7</v>
      </c>
      <c r="D14" s="19" t="s">
        <v>49</v>
      </c>
      <c r="E14" s="19" t="s">
        <v>50</v>
      </c>
      <c r="F14" s="19" t="s">
        <v>7</v>
      </c>
      <c r="G14" s="19" t="s">
        <v>7</v>
      </c>
      <c r="H14" s="19" t="s">
        <v>7</v>
      </c>
      <c r="I14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</row>
    <row r="15" spans="1:200" ht="16.5" thickTop="1" thickBot="1">
      <c r="A15" s="21" t="s">
        <v>8</v>
      </c>
      <c r="C15" s="19" t="s">
        <v>49</v>
      </c>
      <c r="D15" s="19" t="s">
        <v>51</v>
      </c>
      <c r="E15" s="20" t="s">
        <v>50</v>
      </c>
      <c r="F15" s="20" t="s">
        <v>50</v>
      </c>
      <c r="G15" s="20" t="s">
        <v>50</v>
      </c>
      <c r="H15" s="19" t="s">
        <v>7</v>
      </c>
      <c r="I15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</row>
    <row r="16" spans="1:200" ht="16.5" customHeight="1" thickTop="1" thickBot="1">
      <c r="B16" s="7"/>
      <c r="C16" s="9"/>
      <c r="D16" s="9"/>
      <c r="E16" s="10"/>
      <c r="F16" s="9"/>
      <c r="G16" s="9"/>
      <c r="H16" s="9"/>
      <c r="I16" s="9"/>
      <c r="J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</row>
    <row r="17" spans="3:200" ht="36" customHeight="1" thickTop="1" thickBot="1">
      <c r="C17" s="301" t="s">
        <v>9</v>
      </c>
      <c r="D17" s="302"/>
      <c r="E17" s="302"/>
      <c r="F17" s="303"/>
      <c r="G17" s="309" t="str">
        <f>'Colonist-6 Panel'!E16</f>
        <v>Net Price</v>
      </c>
      <c r="H17" s="310"/>
      <c r="I17" s="125"/>
      <c r="J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</row>
    <row r="18" spans="3:200" ht="30" customHeight="1" thickTop="1" thickBot="1">
      <c r="C18" s="304" t="s">
        <v>59</v>
      </c>
      <c r="D18" s="304"/>
      <c r="E18" s="304"/>
      <c r="F18" s="304"/>
      <c r="G18" s="304"/>
      <c r="H18" s="304"/>
      <c r="I18" s="256"/>
      <c r="J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</row>
    <row r="19" spans="3:200">
      <c r="C19" s="305" t="s">
        <v>12</v>
      </c>
      <c r="D19" s="306"/>
      <c r="E19" s="307" t="s">
        <v>13</v>
      </c>
      <c r="F19" s="308"/>
      <c r="G19" s="294">
        <f>K19</f>
        <v>98.979591836734699</v>
      </c>
      <c r="H19" s="295">
        <v>93.38</v>
      </c>
      <c r="I19" s="127"/>
      <c r="J19" s="124"/>
      <c r="K19" s="91">
        <v>98.979591836734699</v>
      </c>
      <c r="L19"/>
      <c r="M19"/>
      <c r="N19"/>
      <c r="O19" s="101"/>
      <c r="P19" s="91"/>
      <c r="Q19" s="95"/>
      <c r="R19" s="95"/>
      <c r="S19" s="95"/>
      <c r="T19" s="95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</row>
    <row r="20" spans="3:200">
      <c r="C20" s="297" t="s">
        <v>14</v>
      </c>
      <c r="D20" s="298"/>
      <c r="E20" s="299" t="s">
        <v>15</v>
      </c>
      <c r="F20" s="300"/>
      <c r="G20" s="289">
        <f t="shared" ref="G20:G31" si="0">K20</f>
        <v>98.979591836734699</v>
      </c>
      <c r="H20" s="290">
        <v>93.38</v>
      </c>
      <c r="I20" s="127"/>
      <c r="J20" s="124"/>
      <c r="K20" s="91">
        <v>98.979591836734699</v>
      </c>
      <c r="L20"/>
      <c r="M20"/>
      <c r="N20"/>
      <c r="O20" s="101"/>
      <c r="P20" s="91"/>
      <c r="Q20" s="95"/>
      <c r="R20" s="95"/>
      <c r="S20" s="95"/>
      <c r="T20" s="95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</row>
    <row r="21" spans="3:200">
      <c r="C21" s="297" t="s">
        <v>16</v>
      </c>
      <c r="D21" s="298"/>
      <c r="E21" s="299" t="s">
        <v>17</v>
      </c>
      <c r="F21" s="300"/>
      <c r="G21" s="289">
        <f t="shared" si="0"/>
        <v>98.979591836734699</v>
      </c>
      <c r="H21" s="290">
        <v>93.38</v>
      </c>
      <c r="I21" s="127"/>
      <c r="J21" s="124"/>
      <c r="K21" s="91">
        <v>98.979591836734699</v>
      </c>
      <c r="L21"/>
      <c r="M21"/>
      <c r="N21"/>
      <c r="O21" s="101"/>
      <c r="P21" s="91"/>
      <c r="Q21" s="95"/>
      <c r="R21" s="95"/>
      <c r="S21" s="95"/>
      <c r="T21" s="95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</row>
    <row r="22" spans="3:200">
      <c r="C22" s="297" t="s">
        <v>18</v>
      </c>
      <c r="D22" s="298"/>
      <c r="E22" s="299" t="s">
        <v>19</v>
      </c>
      <c r="F22" s="300"/>
      <c r="G22" s="289">
        <f t="shared" si="0"/>
        <v>98.979591836734699</v>
      </c>
      <c r="H22" s="290">
        <v>93.38</v>
      </c>
      <c r="I22" s="127"/>
      <c r="J22" s="124"/>
      <c r="K22" s="91">
        <v>98.979591836734699</v>
      </c>
      <c r="L22"/>
      <c r="M22"/>
      <c r="N22"/>
      <c r="O22" s="101"/>
      <c r="P22" s="91"/>
      <c r="Q22" s="95"/>
      <c r="R22" s="95"/>
      <c r="S22" s="95"/>
      <c r="T22" s="95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</row>
    <row r="23" spans="3:200">
      <c r="C23" s="297" t="s">
        <v>20</v>
      </c>
      <c r="D23" s="298"/>
      <c r="E23" s="299" t="s">
        <v>21</v>
      </c>
      <c r="F23" s="300"/>
      <c r="G23" s="289">
        <f t="shared" si="0"/>
        <v>102.29591836734694</v>
      </c>
      <c r="H23" s="290">
        <v>93.38</v>
      </c>
      <c r="I23" s="127"/>
      <c r="J23" s="124"/>
      <c r="K23" s="91">
        <v>102.29591836734694</v>
      </c>
      <c r="L23"/>
      <c r="M23"/>
      <c r="N23"/>
      <c r="O23" s="101"/>
      <c r="P23" s="91"/>
      <c r="Q23" s="95"/>
      <c r="R23" s="95"/>
      <c r="S23" s="95"/>
      <c r="T23" s="95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</row>
    <row r="24" spans="3:200">
      <c r="C24" s="297" t="s">
        <v>22</v>
      </c>
      <c r="D24" s="298"/>
      <c r="E24" s="299" t="s">
        <v>23</v>
      </c>
      <c r="F24" s="300"/>
      <c r="G24" s="289">
        <f t="shared" si="0"/>
        <v>102.29591836734694</v>
      </c>
      <c r="H24" s="290">
        <v>93.38</v>
      </c>
      <c r="I24" s="127"/>
      <c r="J24" s="124"/>
      <c r="K24" s="91">
        <v>102.29591836734694</v>
      </c>
      <c r="L24"/>
      <c r="M24"/>
      <c r="N24"/>
      <c r="O24" s="101"/>
      <c r="P24" s="91"/>
      <c r="Q24" s="95"/>
      <c r="R24" s="95"/>
      <c r="S24" s="95"/>
      <c r="T24" s="95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</row>
    <row r="25" spans="3:200">
      <c r="C25" s="297" t="s">
        <v>24</v>
      </c>
      <c r="D25" s="298"/>
      <c r="E25" s="299" t="s">
        <v>25</v>
      </c>
      <c r="F25" s="300"/>
      <c r="G25" s="289">
        <f t="shared" si="0"/>
        <v>102.29591836734694</v>
      </c>
      <c r="H25" s="290">
        <v>93.38</v>
      </c>
      <c r="I25" s="127"/>
      <c r="J25" s="124"/>
      <c r="K25" s="91">
        <v>102.29591836734694</v>
      </c>
      <c r="L25"/>
      <c r="M25"/>
      <c r="N25"/>
      <c r="O25" s="101"/>
      <c r="P25" s="91"/>
      <c r="Q25" s="95"/>
      <c r="R25" s="95"/>
      <c r="S25" s="95"/>
      <c r="T25" s="95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</row>
    <row r="26" spans="3:200" s="30" customFormat="1">
      <c r="C26" s="297" t="s">
        <v>26</v>
      </c>
      <c r="D26" s="298"/>
      <c r="E26" s="299" t="s">
        <v>27</v>
      </c>
      <c r="F26" s="300"/>
      <c r="G26" s="289">
        <f t="shared" si="0"/>
        <v>104.54081632653062</v>
      </c>
      <c r="H26" s="290">
        <v>93.38</v>
      </c>
      <c r="I26" s="127"/>
      <c r="J26" s="124"/>
      <c r="K26" s="91">
        <v>104.54081632653062</v>
      </c>
      <c r="L26"/>
      <c r="M26"/>
      <c r="N26"/>
      <c r="O26" s="101"/>
      <c r="P26" s="91"/>
      <c r="Q26" s="95"/>
      <c r="R26" s="95"/>
      <c r="S26" s="95"/>
      <c r="T26" s="95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</row>
    <row r="27" spans="3:200" s="30" customFormat="1">
      <c r="C27" s="297" t="s">
        <v>28</v>
      </c>
      <c r="D27" s="298"/>
      <c r="E27" s="299" t="s">
        <v>29</v>
      </c>
      <c r="F27" s="300"/>
      <c r="G27" s="289">
        <f t="shared" si="0"/>
        <v>104.54081632653062</v>
      </c>
      <c r="H27" s="290">
        <v>93.38</v>
      </c>
      <c r="I27" s="127"/>
      <c r="J27" s="124"/>
      <c r="K27" s="91">
        <v>104.54081632653062</v>
      </c>
      <c r="L27"/>
      <c r="M27"/>
      <c r="N27"/>
      <c r="O27" s="101"/>
      <c r="P27" s="91"/>
      <c r="Q27" s="95"/>
      <c r="R27" s="95"/>
      <c r="S27" s="95"/>
      <c r="T27" s="95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</row>
    <row r="28" spans="3:200" ht="15.75" customHeight="1">
      <c r="C28" s="297" t="s">
        <v>30</v>
      </c>
      <c r="D28" s="298"/>
      <c r="E28" s="299" t="s">
        <v>31</v>
      </c>
      <c r="F28" s="300"/>
      <c r="G28" s="289">
        <f t="shared" si="0"/>
        <v>104.54081632653062</v>
      </c>
      <c r="H28" s="290">
        <v>93.38</v>
      </c>
      <c r="I28" s="127"/>
      <c r="J28" s="124"/>
      <c r="K28" s="91">
        <v>104.54081632653062</v>
      </c>
      <c r="L28"/>
      <c r="M28"/>
      <c r="N28"/>
      <c r="O28" s="101"/>
      <c r="P28" s="91"/>
      <c r="Q28" s="95"/>
      <c r="R28" s="95"/>
      <c r="S28" s="95"/>
      <c r="T28" s="95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</row>
    <row r="29" spans="3:200">
      <c r="C29" s="297" t="s">
        <v>32</v>
      </c>
      <c r="D29" s="298"/>
      <c r="E29" s="299" t="s">
        <v>33</v>
      </c>
      <c r="F29" s="300"/>
      <c r="G29" s="289">
        <f t="shared" si="0"/>
        <v>106.88775510204081</v>
      </c>
      <c r="H29" s="290">
        <v>93.38</v>
      </c>
      <c r="I29" s="127"/>
      <c r="J29" s="124"/>
      <c r="K29" s="91">
        <v>106.88775510204081</v>
      </c>
      <c r="L29"/>
      <c r="M29"/>
      <c r="N29"/>
      <c r="O29" s="101"/>
      <c r="P29" s="91"/>
      <c r="Q29" s="95"/>
      <c r="R29" s="95"/>
      <c r="S29" s="95"/>
      <c r="T29" s="95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</row>
    <row r="30" spans="3:200">
      <c r="C30" s="297" t="s">
        <v>34</v>
      </c>
      <c r="D30" s="298"/>
      <c r="E30" s="299" t="s">
        <v>35</v>
      </c>
      <c r="F30" s="300"/>
      <c r="G30" s="289">
        <f t="shared" si="0"/>
        <v>110.20408163265306</v>
      </c>
      <c r="H30" s="290">
        <v>93.38</v>
      </c>
      <c r="I30" s="127"/>
      <c r="J30" s="124"/>
      <c r="K30" s="89">
        <v>110.20408163265306</v>
      </c>
      <c r="L30"/>
      <c r="M30"/>
      <c r="N30"/>
      <c r="O30" s="101"/>
      <c r="P30" s="89"/>
      <c r="Q30" s="95"/>
      <c r="R30" s="95"/>
      <c r="S30" s="95"/>
      <c r="T30" s="95"/>
    </row>
    <row r="31" spans="3:200" ht="16.149999999999999" customHeight="1">
      <c r="C31" s="297" t="s">
        <v>36</v>
      </c>
      <c r="D31" s="298"/>
      <c r="E31" s="299" t="s">
        <v>37</v>
      </c>
      <c r="F31" s="300"/>
      <c r="G31" s="289">
        <f t="shared" si="0"/>
        <v>110.20408163265306</v>
      </c>
      <c r="H31" s="290">
        <v>93.38</v>
      </c>
      <c r="I31" s="127"/>
      <c r="J31" s="124"/>
      <c r="K31" s="89">
        <v>110.20408163265306</v>
      </c>
      <c r="L31"/>
      <c r="M31"/>
      <c r="N31"/>
      <c r="O31" s="101"/>
      <c r="P31" s="89"/>
      <c r="Q31" s="95"/>
      <c r="R31" s="95"/>
      <c r="S31" s="95"/>
      <c r="T31" s="95"/>
    </row>
    <row r="32" spans="3:200" ht="16.149999999999999" customHeight="1" thickBot="1">
      <c r="C32" s="311" t="s">
        <v>38</v>
      </c>
      <c r="D32" s="312"/>
      <c r="E32" s="312"/>
      <c r="F32" s="313"/>
      <c r="G32" s="289">
        <f t="shared" ref="G32" si="1">K32</f>
        <v>5.3999999999999986</v>
      </c>
      <c r="H32" s="290">
        <v>93.38</v>
      </c>
      <c r="I32" s="127"/>
      <c r="J32" s="12"/>
      <c r="K32" s="228">
        <v>5.3999999999999986</v>
      </c>
      <c r="L32"/>
      <c r="M32"/>
      <c r="N32"/>
      <c r="O32" s="101"/>
      <c r="Q32" s="95"/>
      <c r="R32" s="95"/>
      <c r="S32" s="95"/>
      <c r="T32" s="95"/>
    </row>
    <row r="33" spans="3:20" ht="30.75" customHeight="1" thickBot="1">
      <c r="C33" s="293" t="s">
        <v>60</v>
      </c>
      <c r="D33" s="293"/>
      <c r="E33" s="293"/>
      <c r="F33" s="293"/>
      <c r="G33" s="293"/>
      <c r="H33" s="293"/>
      <c r="I33" s="256"/>
      <c r="J33" s="12"/>
      <c r="L33"/>
      <c r="M33"/>
      <c r="N33"/>
      <c r="O33" s="101"/>
      <c r="Q33" s="95"/>
      <c r="R33" s="95"/>
      <c r="S33" s="95"/>
      <c r="T33" s="95"/>
    </row>
    <row r="34" spans="3:20" ht="15" customHeight="1">
      <c r="C34" s="305" t="s">
        <v>12</v>
      </c>
      <c r="D34" s="306"/>
      <c r="E34" s="307" t="s">
        <v>13</v>
      </c>
      <c r="F34" s="308"/>
      <c r="G34" s="294">
        <f>K34</f>
        <v>201.73469387755102</v>
      </c>
      <c r="H34" s="295">
        <v>190.32</v>
      </c>
      <c r="I34" s="127"/>
      <c r="J34" s="124"/>
      <c r="K34" s="89">
        <v>201.73469387755102</v>
      </c>
      <c r="L34"/>
      <c r="M34"/>
      <c r="N34"/>
      <c r="O34" s="101"/>
      <c r="P34" s="89"/>
      <c r="Q34" s="95"/>
      <c r="R34" s="95"/>
      <c r="S34" s="95"/>
      <c r="T34" s="95"/>
    </row>
    <row r="35" spans="3:20" ht="15" customHeight="1">
      <c r="C35" s="297" t="s">
        <v>14</v>
      </c>
      <c r="D35" s="298"/>
      <c r="E35" s="299" t="s">
        <v>15</v>
      </c>
      <c r="F35" s="300"/>
      <c r="G35" s="289">
        <f t="shared" ref="G35:G49" si="2">K35</f>
        <v>201.73469387755102</v>
      </c>
      <c r="H35" s="290">
        <v>190.32</v>
      </c>
      <c r="I35" s="127"/>
      <c r="J35" s="124"/>
      <c r="K35" s="89">
        <v>201.73469387755102</v>
      </c>
      <c r="L35"/>
      <c r="M35"/>
      <c r="N35"/>
      <c r="O35" s="101"/>
      <c r="P35" s="89"/>
      <c r="Q35" s="95"/>
      <c r="R35" s="95"/>
      <c r="S35" s="95"/>
      <c r="T35" s="95"/>
    </row>
    <row r="36" spans="3:20" ht="15" customHeight="1">
      <c r="C36" s="297" t="s">
        <v>16</v>
      </c>
      <c r="D36" s="298"/>
      <c r="E36" s="299" t="s">
        <v>17</v>
      </c>
      <c r="F36" s="300"/>
      <c r="G36" s="289">
        <f t="shared" si="2"/>
        <v>201.73469387755102</v>
      </c>
      <c r="H36" s="290">
        <v>190.32</v>
      </c>
      <c r="I36" s="127"/>
      <c r="J36" s="124"/>
      <c r="K36" s="89">
        <v>201.73469387755102</v>
      </c>
      <c r="L36"/>
      <c r="M36"/>
      <c r="N36"/>
      <c r="O36" s="101"/>
      <c r="P36" s="89"/>
      <c r="Q36" s="95"/>
      <c r="R36" s="95"/>
      <c r="S36" s="95"/>
      <c r="T36" s="95"/>
    </row>
    <row r="37" spans="3:20" ht="15" customHeight="1">
      <c r="C37" s="297" t="s">
        <v>18</v>
      </c>
      <c r="D37" s="298"/>
      <c r="E37" s="299" t="s">
        <v>19</v>
      </c>
      <c r="F37" s="300"/>
      <c r="G37" s="289">
        <f t="shared" si="2"/>
        <v>201.73469387755102</v>
      </c>
      <c r="H37" s="290">
        <v>190.32</v>
      </c>
      <c r="I37" s="127"/>
      <c r="J37" s="124"/>
      <c r="K37" s="89">
        <v>201.73469387755102</v>
      </c>
      <c r="L37"/>
      <c r="M37"/>
      <c r="N37"/>
      <c r="O37" s="101"/>
      <c r="P37" s="89"/>
      <c r="Q37" s="95"/>
      <c r="R37" s="95"/>
      <c r="S37" s="95"/>
      <c r="T37" s="95"/>
    </row>
    <row r="38" spans="3:20" ht="15" customHeight="1">
      <c r="C38" s="297" t="s">
        <v>20</v>
      </c>
      <c r="D38" s="298"/>
      <c r="E38" s="299" t="s">
        <v>21</v>
      </c>
      <c r="F38" s="300"/>
      <c r="G38" s="289">
        <f t="shared" si="2"/>
        <v>205.05102040816325</v>
      </c>
      <c r="H38" s="290">
        <v>190.32</v>
      </c>
      <c r="I38" s="127"/>
      <c r="J38" s="124"/>
      <c r="K38" s="89">
        <v>205.05102040816325</v>
      </c>
      <c r="L38"/>
      <c r="M38"/>
      <c r="N38"/>
      <c r="O38" s="101"/>
      <c r="P38" s="89"/>
      <c r="Q38" s="95"/>
      <c r="R38" s="95"/>
      <c r="S38" s="95"/>
      <c r="T38" s="95"/>
    </row>
    <row r="39" spans="3:20" ht="15" customHeight="1">
      <c r="C39" s="297" t="s">
        <v>22</v>
      </c>
      <c r="D39" s="298"/>
      <c r="E39" s="299" t="s">
        <v>23</v>
      </c>
      <c r="F39" s="300"/>
      <c r="G39" s="289">
        <f t="shared" si="2"/>
        <v>205.05102040816325</v>
      </c>
      <c r="H39" s="290">
        <v>190.32</v>
      </c>
      <c r="I39" s="127"/>
      <c r="J39" s="124"/>
      <c r="K39" s="89">
        <v>205.05102040816325</v>
      </c>
      <c r="L39"/>
      <c r="M39"/>
      <c r="N39"/>
      <c r="O39" s="101"/>
      <c r="P39" s="89"/>
      <c r="Q39" s="95"/>
      <c r="R39" s="95"/>
      <c r="S39" s="95"/>
      <c r="T39" s="95"/>
    </row>
    <row r="40" spans="3:20" ht="15" customHeight="1">
      <c r="C40" s="297" t="s">
        <v>24</v>
      </c>
      <c r="D40" s="298"/>
      <c r="E40" s="299" t="s">
        <v>25</v>
      </c>
      <c r="F40" s="300"/>
      <c r="G40" s="289">
        <f t="shared" si="2"/>
        <v>205.05102040816325</v>
      </c>
      <c r="H40" s="290">
        <v>190.32</v>
      </c>
      <c r="I40" s="127"/>
      <c r="J40" s="124"/>
      <c r="K40" s="89">
        <v>205.05102040816325</v>
      </c>
      <c r="L40"/>
      <c r="M40"/>
      <c r="N40"/>
      <c r="O40" s="101"/>
      <c r="P40" s="89"/>
      <c r="Q40" s="95"/>
      <c r="R40" s="95"/>
      <c r="S40" s="95"/>
      <c r="T40" s="95"/>
    </row>
    <row r="41" spans="3:20" ht="15" customHeight="1">
      <c r="C41" s="297" t="s">
        <v>26</v>
      </c>
      <c r="D41" s="298"/>
      <c r="E41" s="299" t="s">
        <v>27</v>
      </c>
      <c r="F41" s="300"/>
      <c r="G41" s="289">
        <f t="shared" si="2"/>
        <v>207.29591836734693</v>
      </c>
      <c r="H41" s="290">
        <v>190.32</v>
      </c>
      <c r="I41" s="127"/>
      <c r="J41" s="124"/>
      <c r="K41" s="89">
        <v>207.29591836734693</v>
      </c>
      <c r="L41"/>
      <c r="M41"/>
      <c r="N41"/>
      <c r="O41" s="101"/>
      <c r="P41" s="89"/>
      <c r="Q41" s="95"/>
      <c r="R41" s="95"/>
      <c r="S41" s="95"/>
      <c r="T41" s="95"/>
    </row>
    <row r="42" spans="3:20" ht="15" customHeight="1">
      <c r="C42" s="297" t="s">
        <v>28</v>
      </c>
      <c r="D42" s="298"/>
      <c r="E42" s="299" t="s">
        <v>29</v>
      </c>
      <c r="F42" s="300"/>
      <c r="G42" s="289">
        <f t="shared" si="2"/>
        <v>207.29591836734693</v>
      </c>
      <c r="H42" s="290">
        <v>190.32</v>
      </c>
      <c r="I42" s="127"/>
      <c r="J42" s="124"/>
      <c r="K42" s="89">
        <v>207.29591836734693</v>
      </c>
      <c r="L42"/>
      <c r="M42"/>
      <c r="N42"/>
      <c r="O42" s="101"/>
      <c r="P42" s="89"/>
      <c r="Q42" s="95"/>
      <c r="R42" s="95"/>
      <c r="S42" s="95"/>
      <c r="T42" s="95"/>
    </row>
    <row r="43" spans="3:20">
      <c r="C43" s="297" t="s">
        <v>30</v>
      </c>
      <c r="D43" s="298"/>
      <c r="E43" s="299" t="s">
        <v>31</v>
      </c>
      <c r="F43" s="300"/>
      <c r="G43" s="289">
        <f t="shared" si="2"/>
        <v>207.29591836734693</v>
      </c>
      <c r="H43" s="290">
        <v>190.32</v>
      </c>
      <c r="I43" s="127"/>
      <c r="J43" s="124"/>
      <c r="K43" s="89">
        <v>207.29591836734693</v>
      </c>
      <c r="L43"/>
      <c r="M43"/>
      <c r="N43"/>
      <c r="O43" s="101"/>
      <c r="P43" s="89"/>
      <c r="Q43" s="95"/>
      <c r="R43" s="95"/>
      <c r="S43" s="95"/>
      <c r="T43" s="95"/>
    </row>
    <row r="44" spans="3:20">
      <c r="C44" s="297" t="s">
        <v>32</v>
      </c>
      <c r="D44" s="298"/>
      <c r="E44" s="299" t="s">
        <v>33</v>
      </c>
      <c r="F44" s="300"/>
      <c r="G44" s="289">
        <f t="shared" si="2"/>
        <v>209.64285714285714</v>
      </c>
      <c r="H44" s="290">
        <v>190.32</v>
      </c>
      <c r="I44" s="127"/>
      <c r="J44" s="124"/>
      <c r="K44" s="89">
        <v>209.64285714285714</v>
      </c>
      <c r="L44"/>
      <c r="M44"/>
      <c r="N44"/>
      <c r="O44" s="101"/>
      <c r="P44" s="89"/>
      <c r="Q44" s="95"/>
      <c r="R44" s="95"/>
      <c r="S44" s="95"/>
      <c r="T44" s="95"/>
    </row>
    <row r="45" spans="3:20">
      <c r="C45" s="297" t="s">
        <v>34</v>
      </c>
      <c r="D45" s="298"/>
      <c r="E45" s="299" t="s">
        <v>35</v>
      </c>
      <c r="F45" s="300"/>
      <c r="G45" s="289">
        <f t="shared" si="2"/>
        <v>212.95918367346937</v>
      </c>
      <c r="H45" s="290">
        <v>190.32</v>
      </c>
      <c r="I45" s="127"/>
      <c r="J45" s="124"/>
      <c r="K45" s="89">
        <v>212.95918367346937</v>
      </c>
      <c r="L45"/>
      <c r="M45"/>
      <c r="N45"/>
      <c r="O45" s="101"/>
      <c r="P45" s="89"/>
      <c r="Q45" s="95"/>
      <c r="R45" s="95"/>
      <c r="S45" s="95"/>
      <c r="T45" s="95"/>
    </row>
    <row r="46" spans="3:20" ht="16.149999999999999" customHeight="1">
      <c r="C46" s="297" t="s">
        <v>36</v>
      </c>
      <c r="D46" s="298"/>
      <c r="E46" s="299" t="s">
        <v>37</v>
      </c>
      <c r="F46" s="300"/>
      <c r="G46" s="289">
        <f t="shared" si="2"/>
        <v>212.95918367346937</v>
      </c>
      <c r="H46" s="290">
        <v>190.32</v>
      </c>
      <c r="I46" s="127"/>
      <c r="J46" s="124"/>
      <c r="K46" s="89">
        <v>212.95918367346937</v>
      </c>
      <c r="L46"/>
      <c r="M46"/>
      <c r="N46"/>
      <c r="O46" s="101"/>
      <c r="P46" s="89"/>
      <c r="Q46" s="95"/>
      <c r="R46" s="95"/>
      <c r="S46" s="95"/>
      <c r="T46" s="95"/>
    </row>
    <row r="47" spans="3:20" ht="16.149999999999999" customHeight="1">
      <c r="C47" s="297" t="s">
        <v>52</v>
      </c>
      <c r="D47" s="298"/>
      <c r="E47" s="299" t="s">
        <v>53</v>
      </c>
      <c r="F47" s="300"/>
      <c r="G47" s="289">
        <f t="shared" si="2"/>
        <v>240.20408163265304</v>
      </c>
      <c r="H47" s="290">
        <v>190.32</v>
      </c>
      <c r="I47" s="127"/>
      <c r="J47" s="124"/>
      <c r="K47" s="89">
        <v>240.20408163265304</v>
      </c>
      <c r="L47"/>
      <c r="M47"/>
      <c r="N47"/>
      <c r="O47" s="101"/>
      <c r="P47" s="89"/>
      <c r="Q47" s="95"/>
      <c r="R47" s="95"/>
      <c r="S47" s="95"/>
      <c r="T47" s="95"/>
    </row>
    <row r="48" spans="3:20" ht="16.149999999999999" customHeight="1">
      <c r="C48" s="314" t="s">
        <v>38</v>
      </c>
      <c r="D48" s="315"/>
      <c r="E48" s="315"/>
      <c r="F48" s="316"/>
      <c r="G48" s="267">
        <f t="shared" si="2"/>
        <v>18.350000000000001</v>
      </c>
      <c r="H48" s="268">
        <v>93.38</v>
      </c>
      <c r="I48" s="127"/>
      <c r="J48" s="12"/>
      <c r="K48" s="231">
        <v>18.350000000000001</v>
      </c>
      <c r="L48"/>
      <c r="M48"/>
      <c r="N48"/>
      <c r="O48" s="101"/>
    </row>
    <row r="49" spans="3:15" ht="16.149999999999999" customHeight="1" thickBot="1">
      <c r="C49" s="311" t="s">
        <v>39</v>
      </c>
      <c r="D49" s="312"/>
      <c r="E49" s="312"/>
      <c r="F49" s="313"/>
      <c r="G49" s="287">
        <f t="shared" si="2"/>
        <v>116.85000000000001</v>
      </c>
      <c r="H49" s="288">
        <v>93.38</v>
      </c>
      <c r="I49" s="127"/>
      <c r="J49" s="12"/>
      <c r="K49" s="231">
        <v>116.85000000000001</v>
      </c>
      <c r="L49"/>
      <c r="M49"/>
      <c r="N49"/>
      <c r="O49" s="101"/>
    </row>
    <row r="51" spans="3:15">
      <c r="C51" s="74" t="s">
        <v>56</v>
      </c>
    </row>
  </sheetData>
  <mergeCells count="96">
    <mergeCell ref="C42:D42"/>
    <mergeCell ref="E42:F42"/>
    <mergeCell ref="C43:D43"/>
    <mergeCell ref="E43:F43"/>
    <mergeCell ref="C44:D44"/>
    <mergeCell ref="E44:F44"/>
    <mergeCell ref="C48:F48"/>
    <mergeCell ref="C49:F49"/>
    <mergeCell ref="C45:D45"/>
    <mergeCell ref="E45:F45"/>
    <mergeCell ref="C46:D46"/>
    <mergeCell ref="E46:F46"/>
    <mergeCell ref="C47:D47"/>
    <mergeCell ref="E47:F47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E35:F35"/>
    <mergeCell ref="G34:H34"/>
    <mergeCell ref="G35:H35"/>
    <mergeCell ref="C30:D30"/>
    <mergeCell ref="E30:F30"/>
    <mergeCell ref="C31:D31"/>
    <mergeCell ref="E31:F31"/>
    <mergeCell ref="C32:F32"/>
    <mergeCell ref="G31:H31"/>
    <mergeCell ref="G32:H32"/>
    <mergeCell ref="C33:I33"/>
    <mergeCell ref="C34:D34"/>
    <mergeCell ref="E34:F34"/>
    <mergeCell ref="C35:D35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17:F17"/>
    <mergeCell ref="C18:I18"/>
    <mergeCell ref="C19:D19"/>
    <mergeCell ref="E19:F19"/>
    <mergeCell ref="C20:D20"/>
    <mergeCell ref="E20:F20"/>
    <mergeCell ref="G17:H17"/>
    <mergeCell ref="C21:D21"/>
    <mergeCell ref="E21:F21"/>
    <mergeCell ref="C22:D22"/>
    <mergeCell ref="E22:F22"/>
    <mergeCell ref="C23:D23"/>
    <mergeCell ref="E23:F23"/>
    <mergeCell ref="A1:J1"/>
    <mergeCell ref="A2:J2"/>
    <mergeCell ref="A3:J3"/>
    <mergeCell ref="A6:A11"/>
    <mergeCell ref="B6:B11"/>
    <mergeCell ref="G49:H49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41:H41"/>
    <mergeCell ref="G42:H42"/>
    <mergeCell ref="G43:H43"/>
    <mergeCell ref="G46:H46"/>
    <mergeCell ref="G47:H47"/>
    <mergeCell ref="G48:H48"/>
    <mergeCell ref="G44:H44"/>
    <mergeCell ref="G45:H45"/>
    <mergeCell ref="G36:H36"/>
    <mergeCell ref="G37:H37"/>
    <mergeCell ref="G38:H38"/>
    <mergeCell ref="G39:H39"/>
    <mergeCell ref="G40:H40"/>
  </mergeCells>
  <printOptions horizontalCentered="1"/>
  <pageMargins left="0.196850393700787" right="0.196850393700787" top="0.39370078740157499" bottom="0.59055118110236204" header="0" footer="0.196850393700787"/>
  <pageSetup scale="83" orientation="portrait" r:id="rId1"/>
  <headerFooter alignWithMargins="0">
    <oddFooter>&amp;L&amp;P
&amp;RMay 4, 2025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D68E-2EB5-4715-B398-09972E89010C}">
  <sheetPr transitionEvaluation="1">
    <tabColor theme="9" tint="0.59999389629810485"/>
    <pageSetUpPr fitToPage="1"/>
  </sheetPr>
  <dimension ref="A1:GT64"/>
  <sheetViews>
    <sheetView defaultGridColor="0" view="pageBreakPreview" colorId="22" zoomScale="90" zoomScaleNormal="110" zoomScaleSheetLayoutView="90" workbookViewId="0">
      <selection activeCell="A6" sqref="A6:A11"/>
    </sheetView>
  </sheetViews>
  <sheetFormatPr defaultColWidth="9" defaultRowHeight="15.5"/>
  <cols>
    <col min="1" max="1" width="8.23046875" style="26" customWidth="1"/>
    <col min="2" max="4" width="11.84375" style="3" customWidth="1"/>
    <col min="5" max="5" width="16.3046875" style="3" customWidth="1"/>
    <col min="6" max="6" width="9.765625" style="3" customWidth="1"/>
    <col min="7" max="7" width="13.23046875" style="3" customWidth="1"/>
    <col min="8" max="8" width="9.69140625" style="89" bestFit="1" customWidth="1"/>
    <col min="9" max="13" width="9" style="89"/>
    <col min="14" max="16384" width="9" style="3"/>
  </cols>
  <sheetData>
    <row r="1" spans="1:202" ht="24" customHeight="1">
      <c r="A1" s="269" t="s">
        <v>2</v>
      </c>
      <c r="B1" s="269"/>
      <c r="C1" s="269"/>
      <c r="D1" s="269"/>
      <c r="E1" s="269"/>
      <c r="F1" s="269"/>
      <c r="G1" s="269"/>
    </row>
    <row r="2" spans="1:202" ht="21.75" customHeight="1">
      <c r="A2" s="296" t="str">
        <f>'Colonist-6 Panel'!A2</f>
        <v>NET PRICE LIST (May 4, 2025)</v>
      </c>
      <c r="B2" s="296"/>
      <c r="C2" s="296"/>
      <c r="D2" s="296"/>
      <c r="E2" s="296"/>
      <c r="F2" s="296"/>
      <c r="G2" s="296"/>
    </row>
    <row r="3" spans="1:202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</row>
    <row r="4" spans="1:202" ht="11.25" customHeight="1">
      <c r="B4" s="1"/>
      <c r="C4" s="2"/>
      <c r="D4" s="2"/>
      <c r="E4" s="2"/>
      <c r="F4" s="2"/>
      <c r="G4" s="1"/>
    </row>
    <row r="5" spans="1:202" ht="13.5" customHeight="1">
      <c r="B5" s="10"/>
      <c r="C5" s="10"/>
      <c r="D5" s="10"/>
      <c r="E5" s="10"/>
      <c r="F5" s="10"/>
      <c r="G5" s="11"/>
    </row>
    <row r="6" spans="1:202" ht="20.25" customHeight="1">
      <c r="A6" s="263" t="s">
        <v>61</v>
      </c>
      <c r="B6" s="1"/>
      <c r="C6" s="1"/>
      <c r="D6" s="1"/>
      <c r="E6" s="1"/>
      <c r="F6" s="1"/>
      <c r="G6" s="1"/>
    </row>
    <row r="7" spans="1:202" ht="20.25" customHeight="1">
      <c r="A7" s="263"/>
      <c r="B7" s="1"/>
      <c r="C7" s="1"/>
      <c r="D7" s="1"/>
      <c r="E7" s="1"/>
      <c r="F7" s="1"/>
      <c r="G7" s="1"/>
    </row>
    <row r="8" spans="1:202" ht="15.75" customHeight="1">
      <c r="A8" s="263"/>
      <c r="B8" s="1"/>
      <c r="C8" s="1"/>
      <c r="D8" s="1"/>
      <c r="E8" s="1"/>
      <c r="F8" s="1"/>
      <c r="G8" s="1"/>
    </row>
    <row r="9" spans="1:202" ht="15.75" customHeight="1">
      <c r="A9" s="263"/>
      <c r="B9" s="1"/>
      <c r="C9" s="1"/>
      <c r="D9" s="1"/>
      <c r="E9" s="1"/>
      <c r="F9" s="1"/>
      <c r="G9" s="1"/>
    </row>
    <row r="10" spans="1:202" ht="20.25" customHeight="1">
      <c r="A10" s="263"/>
      <c r="B10" s="1"/>
      <c r="C10" s="1"/>
      <c r="D10" s="1"/>
      <c r="E10" s="1"/>
      <c r="F10" s="1"/>
      <c r="G10" s="1"/>
    </row>
    <row r="11" spans="1:202" ht="20.25" customHeight="1">
      <c r="A11" s="263"/>
      <c r="B11" s="1"/>
      <c r="C11" s="1"/>
      <c r="D11" s="1"/>
      <c r="E11" s="1"/>
      <c r="F11" s="1"/>
      <c r="G11" s="1"/>
    </row>
    <row r="12" spans="1:202" ht="9" customHeight="1" thickBot="1">
      <c r="B12" s="4"/>
      <c r="C12" s="5"/>
      <c r="D12" s="5"/>
      <c r="E12" s="5"/>
      <c r="F12" s="5"/>
      <c r="G12" s="6"/>
    </row>
    <row r="13" spans="1:202" ht="30" customHeight="1" thickTop="1" thickBot="1">
      <c r="A13" s="16"/>
      <c r="B13" s="15" t="s">
        <v>62</v>
      </c>
      <c r="C13" s="33"/>
      <c r="D13" s="32"/>
      <c r="E13" s="32"/>
      <c r="F13" s="32"/>
      <c r="G13" s="32"/>
      <c r="H13" s="91"/>
      <c r="I13" s="91"/>
      <c r="J13" s="91"/>
      <c r="K13" s="91"/>
      <c r="L13" s="91"/>
      <c r="M13" s="9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</row>
    <row r="14" spans="1:202" ht="16.5" thickTop="1" thickBot="1">
      <c r="A14" s="21" t="s">
        <v>6</v>
      </c>
      <c r="B14" s="19" t="s">
        <v>7</v>
      </c>
      <c r="C14" s="118"/>
      <c r="D14" s="34"/>
      <c r="E14" s="34"/>
      <c r="F14" s="34"/>
      <c r="G14" s="34"/>
      <c r="H14" s="91"/>
      <c r="I14" s="91"/>
      <c r="J14" s="91"/>
      <c r="K14" s="91"/>
      <c r="L14" s="91"/>
      <c r="M14" s="9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</row>
    <row r="15" spans="1:202" ht="16.5" thickTop="1" thickBot="1">
      <c r="A15" s="21" t="s">
        <v>8</v>
      </c>
      <c r="B15" s="19" t="s">
        <v>49</v>
      </c>
      <c r="C15" s="118"/>
      <c r="D15" s="34"/>
      <c r="E15" s="34"/>
      <c r="F15" s="34"/>
      <c r="G15" s="13"/>
      <c r="H15" s="91"/>
      <c r="I15" s="91"/>
      <c r="J15" s="91"/>
      <c r="K15" s="91"/>
      <c r="L15" s="91"/>
      <c r="M15" s="9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</row>
    <row r="16" spans="1:202" ht="16.5" customHeight="1" thickTop="1" thickBot="1">
      <c r="A16" s="7"/>
      <c r="B16" s="9"/>
      <c r="C16" s="9"/>
      <c r="D16" s="10"/>
      <c r="E16" s="9"/>
      <c r="F16" s="9"/>
      <c r="G16" s="9"/>
      <c r="H16" s="91"/>
      <c r="I16" s="91"/>
      <c r="J16" s="91"/>
      <c r="K16" s="91"/>
      <c r="L16" s="91"/>
      <c r="M16" s="9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</row>
    <row r="17" spans="1:202" ht="36" customHeight="1" thickTop="1" thickBot="1">
      <c r="A17" s="264" t="s">
        <v>9</v>
      </c>
      <c r="B17" s="265"/>
      <c r="C17" s="265"/>
      <c r="D17" s="266"/>
      <c r="E17" s="126" t="str">
        <f>'Colonist-6 Panel'!E16</f>
        <v>Net Price</v>
      </c>
      <c r="F17" s="125"/>
      <c r="G17" s="129"/>
      <c r="H17" s="130"/>
      <c r="I17" s="91"/>
      <c r="J17" s="91"/>
      <c r="K17" s="91"/>
      <c r="L17" s="91"/>
      <c r="M17" s="9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</row>
    <row r="18" spans="1:202" ht="30" customHeight="1" thickTop="1" thickBot="1">
      <c r="A18" s="256" t="s">
        <v>11</v>
      </c>
      <c r="B18" s="256"/>
      <c r="C18" s="256"/>
      <c r="D18" s="256"/>
      <c r="E18" s="256"/>
      <c r="F18" s="256"/>
      <c r="G18" s="256"/>
      <c r="H18" s="130"/>
      <c r="I18"/>
      <c r="J18"/>
      <c r="K18"/>
      <c r="L18" s="91"/>
      <c r="M18" s="9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</row>
    <row r="19" spans="1:202">
      <c r="A19" s="257" t="s">
        <v>12</v>
      </c>
      <c r="B19" s="258"/>
      <c r="C19" s="259" t="s">
        <v>13</v>
      </c>
      <c r="D19" s="259"/>
      <c r="E19" s="148">
        <v>68.112244897959187</v>
      </c>
      <c r="F19" s="81"/>
      <c r="G19" s="81"/>
      <c r="H19"/>
      <c r="I19"/>
      <c r="J19"/>
      <c r="K19"/>
      <c r="L19" s="101"/>
      <c r="M19" s="91"/>
      <c r="N19" s="95"/>
      <c r="O19" s="95"/>
      <c r="P19" s="95"/>
      <c r="Q19" s="95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</row>
    <row r="20" spans="1:202">
      <c r="A20" s="251" t="s">
        <v>14</v>
      </c>
      <c r="B20" s="252"/>
      <c r="C20" s="253" t="s">
        <v>15</v>
      </c>
      <c r="D20" s="253"/>
      <c r="E20" s="149">
        <v>68.112244897959187</v>
      </c>
      <c r="F20" s="81"/>
      <c r="G20" s="81"/>
      <c r="H20"/>
      <c r="I20"/>
      <c r="J20"/>
      <c r="K20"/>
      <c r="L20" s="101"/>
      <c r="M20" s="91"/>
      <c r="N20" s="95"/>
      <c r="O20" s="95"/>
      <c r="P20" s="95"/>
      <c r="Q20" s="95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</row>
    <row r="21" spans="1:202">
      <c r="A21" s="251" t="s">
        <v>16</v>
      </c>
      <c r="B21" s="252"/>
      <c r="C21" s="253" t="s">
        <v>17</v>
      </c>
      <c r="D21" s="253"/>
      <c r="E21" s="149">
        <v>68.112244897959187</v>
      </c>
      <c r="F21" s="81"/>
      <c r="G21" s="81"/>
      <c r="H21"/>
      <c r="I21"/>
      <c r="J21"/>
      <c r="K21"/>
      <c r="L21" s="101"/>
      <c r="M21" s="91"/>
      <c r="N21" s="95"/>
      <c r="O21" s="95"/>
      <c r="P21" s="95"/>
      <c r="Q21" s="95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</row>
    <row r="22" spans="1:202">
      <c r="A22" s="251" t="s">
        <v>18</v>
      </c>
      <c r="B22" s="252"/>
      <c r="C22" s="253" t="s">
        <v>19</v>
      </c>
      <c r="D22" s="253"/>
      <c r="E22" s="149">
        <v>68.112244897959187</v>
      </c>
      <c r="F22" s="81"/>
      <c r="G22" s="81"/>
      <c r="H22"/>
      <c r="I22"/>
      <c r="J22"/>
      <c r="K22"/>
      <c r="L22" s="101"/>
      <c r="M22" s="91"/>
      <c r="N22" s="95"/>
      <c r="O22" s="95"/>
      <c r="P22" s="95"/>
      <c r="Q22" s="95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</row>
    <row r="23" spans="1:202">
      <c r="A23" s="251" t="s">
        <v>20</v>
      </c>
      <c r="B23" s="252"/>
      <c r="C23" s="253" t="s">
        <v>21</v>
      </c>
      <c r="D23" s="253"/>
      <c r="E23" s="149">
        <v>71.428571428571431</v>
      </c>
      <c r="F23" s="81"/>
      <c r="G23" s="81"/>
      <c r="H23"/>
      <c r="I23"/>
      <c r="J23"/>
      <c r="K23"/>
      <c r="L23" s="101"/>
      <c r="M23" s="91"/>
      <c r="N23" s="95"/>
      <c r="O23" s="95"/>
      <c r="P23" s="95"/>
      <c r="Q23" s="95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</row>
    <row r="24" spans="1:202">
      <c r="A24" s="251" t="s">
        <v>22</v>
      </c>
      <c r="B24" s="252"/>
      <c r="C24" s="253" t="s">
        <v>23</v>
      </c>
      <c r="D24" s="253"/>
      <c r="E24" s="149">
        <v>71.428571428571431</v>
      </c>
      <c r="F24" s="81"/>
      <c r="G24" s="81"/>
      <c r="H24"/>
      <c r="I24"/>
      <c r="J24"/>
      <c r="K24"/>
      <c r="L24" s="101"/>
      <c r="M24" s="91"/>
      <c r="N24" s="95"/>
      <c r="O24" s="95"/>
      <c r="P24" s="95"/>
      <c r="Q24" s="95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</row>
    <row r="25" spans="1:202">
      <c r="A25" s="251" t="s">
        <v>24</v>
      </c>
      <c r="B25" s="252"/>
      <c r="C25" s="253" t="s">
        <v>25</v>
      </c>
      <c r="D25" s="253"/>
      <c r="E25" s="149">
        <v>71.428571428571431</v>
      </c>
      <c r="F25" s="81"/>
      <c r="G25" s="81"/>
      <c r="H25"/>
      <c r="I25"/>
      <c r="J25"/>
      <c r="K25"/>
      <c r="L25" s="101"/>
      <c r="M25" s="91"/>
      <c r="N25" s="95"/>
      <c r="O25" s="95"/>
      <c r="P25" s="95"/>
      <c r="Q25" s="95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</row>
    <row r="26" spans="1:202" s="30" customFormat="1">
      <c r="A26" s="251" t="s">
        <v>26</v>
      </c>
      <c r="B26" s="252"/>
      <c r="C26" s="253" t="s">
        <v>27</v>
      </c>
      <c r="D26" s="253"/>
      <c r="E26" s="149">
        <v>73.673469387755105</v>
      </c>
      <c r="F26" s="81"/>
      <c r="G26" s="81"/>
      <c r="H26"/>
      <c r="I26"/>
      <c r="J26"/>
      <c r="K26"/>
      <c r="L26" s="101"/>
      <c r="M26" s="91"/>
      <c r="N26" s="95"/>
      <c r="O26" s="95"/>
      <c r="P26" s="95"/>
      <c r="Q26" s="95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</row>
    <row r="27" spans="1:202" s="30" customFormat="1">
      <c r="A27" s="251" t="s">
        <v>28</v>
      </c>
      <c r="B27" s="252"/>
      <c r="C27" s="253" t="s">
        <v>29</v>
      </c>
      <c r="D27" s="253"/>
      <c r="E27" s="149">
        <v>73.673469387755105</v>
      </c>
      <c r="F27" s="81"/>
      <c r="G27" s="81"/>
      <c r="H27"/>
      <c r="I27"/>
      <c r="J27"/>
      <c r="K27"/>
      <c r="L27" s="101"/>
      <c r="M27" s="91"/>
      <c r="N27" s="95"/>
      <c r="O27" s="95"/>
      <c r="P27" s="95"/>
      <c r="Q27" s="95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</row>
    <row r="28" spans="1:202" ht="15.75" customHeight="1">
      <c r="A28" s="251" t="s">
        <v>30</v>
      </c>
      <c r="B28" s="252"/>
      <c r="C28" s="253" t="s">
        <v>31</v>
      </c>
      <c r="D28" s="253"/>
      <c r="E28" s="149">
        <v>73.673469387755105</v>
      </c>
      <c r="F28" s="81"/>
      <c r="G28" s="81"/>
      <c r="H28"/>
      <c r="I28"/>
      <c r="J28"/>
      <c r="K28"/>
      <c r="L28" s="101"/>
      <c r="M28" s="91"/>
      <c r="N28" s="95"/>
      <c r="O28" s="95"/>
      <c r="P28" s="95"/>
      <c r="Q28" s="95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</row>
    <row r="29" spans="1:202">
      <c r="A29" s="251" t="s">
        <v>32</v>
      </c>
      <c r="B29" s="252"/>
      <c r="C29" s="253" t="s">
        <v>33</v>
      </c>
      <c r="D29" s="253"/>
      <c r="E29" s="149">
        <v>76.020408163265301</v>
      </c>
      <c r="F29" s="81"/>
      <c r="G29" s="81"/>
      <c r="H29"/>
      <c r="I29"/>
      <c r="J29"/>
      <c r="K29"/>
      <c r="L29" s="101"/>
      <c r="M29" s="91"/>
      <c r="N29" s="95"/>
      <c r="O29" s="95"/>
      <c r="P29" s="95"/>
      <c r="Q29" s="95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</row>
    <row r="30" spans="1:202">
      <c r="A30" s="251" t="s">
        <v>34</v>
      </c>
      <c r="B30" s="252"/>
      <c r="C30" s="253" t="s">
        <v>35</v>
      </c>
      <c r="D30" s="253"/>
      <c r="E30" s="149">
        <v>79.336734693877546</v>
      </c>
      <c r="F30" s="81"/>
      <c r="G30" s="81"/>
      <c r="H30"/>
      <c r="I30"/>
      <c r="J30"/>
      <c r="K30"/>
      <c r="L30" s="101"/>
      <c r="N30" s="95"/>
      <c r="O30" s="95"/>
      <c r="P30" s="95"/>
      <c r="Q30" s="95"/>
    </row>
    <row r="31" spans="1:202" ht="16.149999999999999" customHeight="1">
      <c r="A31" s="251" t="s">
        <v>36</v>
      </c>
      <c r="B31" s="252"/>
      <c r="C31" s="253" t="s">
        <v>37</v>
      </c>
      <c r="D31" s="253"/>
      <c r="E31" s="149">
        <v>79.336734693877546</v>
      </c>
      <c r="F31" s="81"/>
      <c r="G31" s="81"/>
      <c r="H31"/>
      <c r="I31"/>
      <c r="J31"/>
      <c r="K31"/>
      <c r="L31" s="101"/>
      <c r="N31" s="95"/>
      <c r="O31" s="95"/>
      <c r="P31" s="95"/>
      <c r="Q31" s="95"/>
    </row>
    <row r="32" spans="1:202" ht="16.149999999999999" customHeight="1">
      <c r="A32" s="254" t="s">
        <v>38</v>
      </c>
      <c r="B32" s="255"/>
      <c r="C32" s="255"/>
      <c r="D32" s="255"/>
      <c r="E32" s="79">
        <v>35.700000000000003</v>
      </c>
      <c r="F32" s="81"/>
      <c r="G32" s="81"/>
      <c r="H32"/>
      <c r="I32"/>
      <c r="J32"/>
      <c r="K32"/>
      <c r="L32" s="101"/>
      <c r="N32" s="95"/>
      <c r="O32" s="95"/>
      <c r="P32" s="95"/>
      <c r="Q32" s="95"/>
    </row>
    <row r="33" spans="1:17" ht="16.149999999999999" customHeight="1" thickBot="1">
      <c r="A33" s="249" t="s">
        <v>39</v>
      </c>
      <c r="B33" s="250"/>
      <c r="C33" s="250"/>
      <c r="D33" s="250"/>
      <c r="E33" s="80">
        <v>97.350000000000009</v>
      </c>
      <c r="F33" s="81"/>
      <c r="G33" s="81"/>
      <c r="H33"/>
      <c r="I33"/>
      <c r="J33"/>
      <c r="K33"/>
      <c r="L33" s="101"/>
      <c r="N33" s="95"/>
      <c r="O33" s="95"/>
      <c r="P33" s="95"/>
      <c r="Q33" s="95"/>
    </row>
    <row r="34" spans="1:17" ht="30" customHeight="1" thickBot="1">
      <c r="A34" s="256" t="s">
        <v>54</v>
      </c>
      <c r="B34" s="256"/>
      <c r="C34" s="256"/>
      <c r="D34" s="256"/>
      <c r="E34" s="256"/>
      <c r="F34" s="256"/>
      <c r="G34" s="256"/>
      <c r="H34"/>
      <c r="I34"/>
      <c r="J34"/>
      <c r="K34"/>
      <c r="L34" s="101"/>
      <c r="M34" s="92"/>
      <c r="N34" s="95"/>
      <c r="O34" s="95"/>
      <c r="P34" s="95"/>
      <c r="Q34" s="95"/>
    </row>
    <row r="35" spans="1:17" ht="16.149999999999999" customHeight="1">
      <c r="A35" s="317" t="s">
        <v>18</v>
      </c>
      <c r="B35" s="318"/>
      <c r="C35" s="319" t="s">
        <v>19</v>
      </c>
      <c r="D35" s="319"/>
      <c r="E35" s="148">
        <v>87.755102040816325</v>
      </c>
      <c r="F35" s="81"/>
      <c r="G35" s="81"/>
      <c r="H35"/>
      <c r="I35"/>
      <c r="J35"/>
      <c r="K35"/>
      <c r="L35" s="101"/>
      <c r="N35" s="95"/>
      <c r="O35" s="95"/>
      <c r="P35" s="95"/>
      <c r="Q35" s="95"/>
    </row>
    <row r="36" spans="1:17" ht="16.149999999999999" customHeight="1">
      <c r="A36" s="320" t="s">
        <v>20</v>
      </c>
      <c r="B36" s="278"/>
      <c r="C36" s="279" t="s">
        <v>21</v>
      </c>
      <c r="D36" s="279"/>
      <c r="E36" s="149">
        <v>87.755102040816325</v>
      </c>
      <c r="F36" s="81"/>
      <c r="G36" s="81"/>
      <c r="H36"/>
      <c r="I36"/>
      <c r="J36"/>
      <c r="K36"/>
      <c r="L36" s="101"/>
      <c r="N36" s="95"/>
      <c r="O36" s="95"/>
      <c r="P36" s="95"/>
      <c r="Q36" s="95"/>
    </row>
    <row r="37" spans="1:17" ht="16.149999999999999" customHeight="1">
      <c r="A37" s="320" t="s">
        <v>22</v>
      </c>
      <c r="B37" s="278"/>
      <c r="C37" s="279" t="s">
        <v>23</v>
      </c>
      <c r="D37" s="279"/>
      <c r="E37" s="149">
        <v>87.755102040816325</v>
      </c>
      <c r="F37" s="81"/>
      <c r="G37" s="81"/>
      <c r="H37"/>
      <c r="I37"/>
      <c r="J37"/>
      <c r="K37"/>
      <c r="L37" s="101"/>
      <c r="N37" s="95"/>
      <c r="O37" s="95"/>
      <c r="P37" s="95"/>
      <c r="Q37" s="95"/>
    </row>
    <row r="38" spans="1:17" ht="16.149999999999999" customHeight="1">
      <c r="A38" s="320" t="s">
        <v>24</v>
      </c>
      <c r="B38" s="278"/>
      <c r="C38" s="279" t="s">
        <v>25</v>
      </c>
      <c r="D38" s="279"/>
      <c r="E38" s="149">
        <v>87.755102040816325</v>
      </c>
      <c r="F38" s="81"/>
      <c r="G38" s="81"/>
      <c r="H38"/>
      <c r="I38"/>
      <c r="J38"/>
      <c r="K38"/>
      <c r="L38" s="101"/>
      <c r="N38" s="95"/>
      <c r="O38" s="95"/>
      <c r="P38" s="95"/>
      <c r="Q38" s="95"/>
    </row>
    <row r="39" spans="1:17" ht="16.149999999999999" customHeight="1">
      <c r="A39" s="320" t="s">
        <v>26</v>
      </c>
      <c r="B39" s="278"/>
      <c r="C39" s="279" t="s">
        <v>27</v>
      </c>
      <c r="D39" s="279"/>
      <c r="E39" s="149">
        <v>95.510204081632665</v>
      </c>
      <c r="F39" s="81"/>
      <c r="G39" s="81"/>
      <c r="H39"/>
      <c r="I39"/>
      <c r="J39"/>
      <c r="K39"/>
      <c r="L39" s="101"/>
      <c r="N39" s="95"/>
      <c r="O39" s="95"/>
      <c r="P39" s="95"/>
      <c r="Q39" s="95"/>
    </row>
    <row r="40" spans="1:17" ht="16.149999999999999" customHeight="1">
      <c r="A40" s="320" t="s">
        <v>28</v>
      </c>
      <c r="B40" s="278"/>
      <c r="C40" s="279" t="s">
        <v>29</v>
      </c>
      <c r="D40" s="279"/>
      <c r="E40" s="149">
        <v>95.510204081632665</v>
      </c>
      <c r="F40" s="81"/>
      <c r="G40" s="81"/>
      <c r="H40"/>
      <c r="I40"/>
      <c r="J40"/>
      <c r="K40"/>
      <c r="L40" s="101"/>
      <c r="N40" s="95"/>
      <c r="O40" s="95"/>
      <c r="P40" s="95"/>
      <c r="Q40" s="95"/>
    </row>
    <row r="41" spans="1:17" ht="16.149999999999999" customHeight="1">
      <c r="A41" s="320" t="s">
        <v>30</v>
      </c>
      <c r="B41" s="278"/>
      <c r="C41" s="279" t="s">
        <v>31</v>
      </c>
      <c r="D41" s="279"/>
      <c r="E41" s="149">
        <v>95.510204081632665</v>
      </c>
      <c r="F41" s="81"/>
      <c r="G41" s="81"/>
      <c r="H41"/>
      <c r="I41"/>
      <c r="J41"/>
      <c r="K41"/>
      <c r="L41" s="101"/>
      <c r="N41" s="95"/>
      <c r="O41" s="95"/>
      <c r="P41" s="95"/>
      <c r="Q41" s="95"/>
    </row>
    <row r="42" spans="1:17" ht="16.149999999999999" customHeight="1">
      <c r="A42" s="320" t="s">
        <v>32</v>
      </c>
      <c r="B42" s="278"/>
      <c r="C42" s="279" t="s">
        <v>33</v>
      </c>
      <c r="D42" s="279"/>
      <c r="E42" s="149">
        <v>100.4591836734694</v>
      </c>
      <c r="F42" s="81"/>
      <c r="G42" s="81"/>
      <c r="H42"/>
      <c r="I42"/>
      <c r="J42"/>
      <c r="K42"/>
      <c r="L42" s="101"/>
      <c r="N42" s="95"/>
      <c r="O42" s="95"/>
      <c r="P42" s="95"/>
      <c r="Q42" s="95"/>
    </row>
    <row r="43" spans="1:17" ht="16.149999999999999" customHeight="1">
      <c r="A43" s="320" t="s">
        <v>34</v>
      </c>
      <c r="B43" s="278"/>
      <c r="C43" s="279" t="s">
        <v>35</v>
      </c>
      <c r="D43" s="279"/>
      <c r="E43" s="149">
        <v>100.4591836734694</v>
      </c>
      <c r="F43" s="81"/>
      <c r="G43" s="81"/>
      <c r="H43"/>
      <c r="I43"/>
      <c r="J43"/>
      <c r="K43"/>
      <c r="L43" s="101"/>
      <c r="N43" s="95"/>
      <c r="O43" s="95"/>
      <c r="P43" s="95"/>
      <c r="Q43" s="95"/>
    </row>
    <row r="44" spans="1:17" ht="15.75" customHeight="1">
      <c r="A44" s="251" t="s">
        <v>36</v>
      </c>
      <c r="B44" s="252"/>
      <c r="C44" s="279" t="s">
        <v>37</v>
      </c>
      <c r="D44" s="279"/>
      <c r="E44" s="149">
        <v>100.4591836734694</v>
      </c>
      <c r="F44" s="81"/>
      <c r="G44" s="81"/>
      <c r="H44"/>
      <c r="I44"/>
      <c r="J44"/>
      <c r="K44"/>
      <c r="L44" s="101"/>
      <c r="N44" s="95"/>
      <c r="O44" s="95"/>
      <c r="P44" s="95"/>
      <c r="Q44" s="95"/>
    </row>
    <row r="45" spans="1:17" ht="15.75" customHeight="1" thickBot="1">
      <c r="A45" s="249" t="s">
        <v>38</v>
      </c>
      <c r="B45" s="250"/>
      <c r="C45" s="250"/>
      <c r="D45" s="250"/>
      <c r="E45" s="80">
        <v>35.700000000000003</v>
      </c>
      <c r="F45" s="81"/>
      <c r="G45" s="81"/>
      <c r="H45"/>
      <c r="I45"/>
      <c r="J45"/>
      <c r="K45"/>
    </row>
    <row r="46" spans="1:17" ht="29.25" customHeight="1" thickBot="1">
      <c r="A46" s="273" t="s">
        <v>55</v>
      </c>
      <c r="B46" s="273"/>
      <c r="C46" s="273"/>
      <c r="D46" s="273"/>
      <c r="E46" s="273"/>
      <c r="F46" s="256"/>
      <c r="G46" s="256"/>
      <c r="H46"/>
      <c r="I46"/>
      <c r="J46"/>
      <c r="K46"/>
    </row>
    <row r="47" spans="1:17">
      <c r="A47" s="257" t="s">
        <v>12</v>
      </c>
      <c r="B47" s="258"/>
      <c r="C47" s="259" t="s">
        <v>13</v>
      </c>
      <c r="D47" s="274"/>
      <c r="E47" s="150">
        <v>148.16326530612244</v>
      </c>
      <c r="F47" s="81"/>
      <c r="G47" s="81"/>
      <c r="H47"/>
      <c r="I47"/>
      <c r="J47"/>
      <c r="K47"/>
    </row>
    <row r="48" spans="1:17">
      <c r="A48" s="251" t="s">
        <v>14</v>
      </c>
      <c r="B48" s="252"/>
      <c r="C48" s="253" t="s">
        <v>15</v>
      </c>
      <c r="D48" s="272"/>
      <c r="E48" s="150">
        <v>148.16326530612244</v>
      </c>
      <c r="F48" s="81"/>
      <c r="G48" s="81"/>
      <c r="H48"/>
      <c r="I48"/>
      <c r="J48"/>
      <c r="K48"/>
    </row>
    <row r="49" spans="1:11">
      <c r="A49" s="251" t="s">
        <v>16</v>
      </c>
      <c r="B49" s="252"/>
      <c r="C49" s="253" t="s">
        <v>17</v>
      </c>
      <c r="D49" s="272"/>
      <c r="E49" s="150">
        <v>148.16326530612244</v>
      </c>
      <c r="F49" s="81"/>
      <c r="G49" s="81"/>
      <c r="H49"/>
      <c r="I49"/>
      <c r="J49"/>
      <c r="K49"/>
    </row>
    <row r="50" spans="1:11">
      <c r="A50" s="251" t="s">
        <v>18</v>
      </c>
      <c r="B50" s="252"/>
      <c r="C50" s="253" t="s">
        <v>19</v>
      </c>
      <c r="D50" s="272"/>
      <c r="E50" s="150">
        <v>148.16326530612244</v>
      </c>
      <c r="F50" s="81"/>
      <c r="G50" s="81"/>
      <c r="H50"/>
      <c r="I50"/>
      <c r="J50"/>
      <c r="K50"/>
    </row>
    <row r="51" spans="1:11">
      <c r="A51" s="251" t="s">
        <v>20</v>
      </c>
      <c r="B51" s="252"/>
      <c r="C51" s="253" t="s">
        <v>21</v>
      </c>
      <c r="D51" s="272"/>
      <c r="E51" s="150">
        <v>151.4795918367347</v>
      </c>
      <c r="F51" s="81"/>
      <c r="G51" s="81"/>
      <c r="H51"/>
      <c r="I51"/>
      <c r="J51"/>
      <c r="K51"/>
    </row>
    <row r="52" spans="1:11">
      <c r="A52" s="251" t="s">
        <v>22</v>
      </c>
      <c r="B52" s="252"/>
      <c r="C52" s="253" t="s">
        <v>23</v>
      </c>
      <c r="D52" s="272"/>
      <c r="E52" s="150">
        <v>151.4795918367347</v>
      </c>
      <c r="F52" s="81"/>
      <c r="G52" s="81"/>
      <c r="H52"/>
      <c r="I52"/>
      <c r="J52"/>
      <c r="K52"/>
    </row>
    <row r="53" spans="1:11">
      <c r="A53" s="251" t="s">
        <v>24</v>
      </c>
      <c r="B53" s="252"/>
      <c r="C53" s="253" t="s">
        <v>25</v>
      </c>
      <c r="D53" s="272"/>
      <c r="E53" s="150">
        <v>151.4795918367347</v>
      </c>
      <c r="F53" s="81"/>
      <c r="G53" s="81"/>
      <c r="H53"/>
      <c r="I53"/>
      <c r="J53"/>
      <c r="K53"/>
    </row>
    <row r="54" spans="1:11">
      <c r="A54" s="251" t="s">
        <v>26</v>
      </c>
      <c r="B54" s="252"/>
      <c r="C54" s="253" t="s">
        <v>27</v>
      </c>
      <c r="D54" s="272"/>
      <c r="E54" s="150">
        <v>153.72448979591837</v>
      </c>
      <c r="F54" s="81"/>
      <c r="G54" s="81"/>
      <c r="H54"/>
      <c r="I54"/>
      <c r="J54"/>
      <c r="K54"/>
    </row>
    <row r="55" spans="1:11">
      <c r="A55" s="251" t="s">
        <v>28</v>
      </c>
      <c r="B55" s="252"/>
      <c r="C55" s="253" t="s">
        <v>29</v>
      </c>
      <c r="D55" s="272"/>
      <c r="E55" s="150">
        <v>153.72448979591837</v>
      </c>
      <c r="F55" s="81"/>
      <c r="G55" s="81"/>
      <c r="H55"/>
      <c r="I55"/>
      <c r="J55"/>
      <c r="K55"/>
    </row>
    <row r="56" spans="1:11">
      <c r="A56" s="251" t="s">
        <v>30</v>
      </c>
      <c r="B56" s="252"/>
      <c r="C56" s="253" t="s">
        <v>31</v>
      </c>
      <c r="D56" s="272"/>
      <c r="E56" s="150">
        <v>153.72448979591837</v>
      </c>
      <c r="F56" s="81"/>
      <c r="G56" s="81"/>
      <c r="H56"/>
      <c r="I56"/>
      <c r="J56"/>
      <c r="K56"/>
    </row>
    <row r="57" spans="1:11">
      <c r="A57" s="251" t="s">
        <v>32</v>
      </c>
      <c r="B57" s="252"/>
      <c r="C57" s="253" t="s">
        <v>33</v>
      </c>
      <c r="D57" s="272"/>
      <c r="E57" s="150">
        <v>156.07142857142856</v>
      </c>
      <c r="F57" s="81"/>
      <c r="G57" s="81"/>
      <c r="H57"/>
      <c r="I57"/>
      <c r="J57"/>
      <c r="K57"/>
    </row>
    <row r="58" spans="1:11">
      <c r="A58" s="251" t="s">
        <v>34</v>
      </c>
      <c r="B58" s="252"/>
      <c r="C58" s="253" t="s">
        <v>35</v>
      </c>
      <c r="D58" s="272"/>
      <c r="E58" s="150">
        <v>159.38775510204081</v>
      </c>
      <c r="F58" s="81"/>
      <c r="G58" s="81"/>
      <c r="H58"/>
      <c r="I58"/>
      <c r="J58"/>
      <c r="K58"/>
    </row>
    <row r="59" spans="1:11">
      <c r="A59" s="251" t="s">
        <v>36</v>
      </c>
      <c r="B59" s="252"/>
      <c r="C59" s="253" t="s">
        <v>37</v>
      </c>
      <c r="D59" s="272"/>
      <c r="E59" s="150">
        <v>159.38775510204081</v>
      </c>
      <c r="F59" s="81"/>
      <c r="G59" s="81"/>
      <c r="H59"/>
      <c r="I59"/>
      <c r="J59"/>
      <c r="K59"/>
    </row>
    <row r="60" spans="1:11">
      <c r="A60" s="254" t="s">
        <v>38</v>
      </c>
      <c r="B60" s="255"/>
      <c r="C60" s="255"/>
      <c r="D60" s="281"/>
      <c r="E60" s="79">
        <v>28.099999999999994</v>
      </c>
      <c r="F60" s="81"/>
      <c r="G60" s="81"/>
      <c r="H60"/>
      <c r="I60"/>
      <c r="J60"/>
      <c r="K60"/>
    </row>
    <row r="61" spans="1:11" ht="16" thickBot="1">
      <c r="A61" s="249" t="s">
        <v>39</v>
      </c>
      <c r="B61" s="250"/>
      <c r="C61" s="250"/>
      <c r="D61" s="282"/>
      <c r="E61" s="80">
        <v>142.75</v>
      </c>
      <c r="F61" s="81"/>
      <c r="G61" s="81"/>
      <c r="H61"/>
      <c r="I61"/>
      <c r="J61"/>
      <c r="K61"/>
    </row>
    <row r="62" spans="1:11">
      <c r="H62"/>
      <c r="I62"/>
      <c r="J62"/>
      <c r="K62"/>
    </row>
    <row r="63" spans="1:11">
      <c r="I63"/>
      <c r="J63"/>
      <c r="K63"/>
    </row>
    <row r="64" spans="1:11">
      <c r="I64"/>
      <c r="J64"/>
      <c r="K64"/>
    </row>
  </sheetData>
  <mergeCells count="85">
    <mergeCell ref="A61:D61"/>
    <mergeCell ref="A58:B58"/>
    <mergeCell ref="C58:D58"/>
    <mergeCell ref="A59:B59"/>
    <mergeCell ref="C59:D59"/>
    <mergeCell ref="A60:D60"/>
    <mergeCell ref="A55:B55"/>
    <mergeCell ref="C55:D55"/>
    <mergeCell ref="A56:B56"/>
    <mergeCell ref="C56:D56"/>
    <mergeCell ref="A57:B57"/>
    <mergeCell ref="C57:D57"/>
    <mergeCell ref="A52:B52"/>
    <mergeCell ref="C52:D52"/>
    <mergeCell ref="A53:B53"/>
    <mergeCell ref="C53:D53"/>
    <mergeCell ref="A54:B54"/>
    <mergeCell ref="C54:D54"/>
    <mergeCell ref="A49:B49"/>
    <mergeCell ref="C49:D49"/>
    <mergeCell ref="A50:B50"/>
    <mergeCell ref="C50:D50"/>
    <mergeCell ref="A51:B51"/>
    <mergeCell ref="C51:D51"/>
    <mergeCell ref="A46:G46"/>
    <mergeCell ref="A47:B47"/>
    <mergeCell ref="C47:D47"/>
    <mergeCell ref="A48:B48"/>
    <mergeCell ref="C48:D48"/>
    <mergeCell ref="A45:D45"/>
    <mergeCell ref="A42:B42"/>
    <mergeCell ref="C42:D42"/>
    <mergeCell ref="A43:B43"/>
    <mergeCell ref="C43:D43"/>
    <mergeCell ref="A44:B44"/>
    <mergeCell ref="C44:D44"/>
    <mergeCell ref="A39:B39"/>
    <mergeCell ref="C39:D39"/>
    <mergeCell ref="A40:B40"/>
    <mergeCell ref="C40:D40"/>
    <mergeCell ref="A41:B41"/>
    <mergeCell ref="C41:D41"/>
    <mergeCell ref="A36:B36"/>
    <mergeCell ref="C36:D36"/>
    <mergeCell ref="A37:B37"/>
    <mergeCell ref="C37:D37"/>
    <mergeCell ref="A38:B38"/>
    <mergeCell ref="C38:D38"/>
    <mergeCell ref="A35:B35"/>
    <mergeCell ref="C35:D35"/>
    <mergeCell ref="A28:B28"/>
    <mergeCell ref="C28:D28"/>
    <mergeCell ref="A29:B29"/>
    <mergeCell ref="C29:D29"/>
    <mergeCell ref="A30:B30"/>
    <mergeCell ref="C30:D30"/>
    <mergeCell ref="A31:B31"/>
    <mergeCell ref="C31:D31"/>
    <mergeCell ref="A32:D32"/>
    <mergeCell ref="A33:D33"/>
    <mergeCell ref="A34:G34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8:G18"/>
    <mergeCell ref="A1:G1"/>
    <mergeCell ref="A2:G2"/>
    <mergeCell ref="A3:G3"/>
    <mergeCell ref="A6:A11"/>
    <mergeCell ref="A17:D17"/>
  </mergeCells>
  <printOptions horizontalCentered="1"/>
  <pageMargins left="0.196850393700787" right="0.196850393700787" top="0.39370078740157499" bottom="0.59055118110236204" header="0" footer="0.196850393700787"/>
  <pageSetup scale="68" orientation="portrait" r:id="rId1"/>
  <headerFooter alignWithMargins="0">
    <oddFooter>&amp;L&amp;P
&amp;RMay 4, 2025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82CC-989A-4F32-83A2-028B6CBD6932}">
  <sheetPr transitionEvaluation="1">
    <tabColor theme="9" tint="0.59999389629810485"/>
    <pageSetUpPr fitToPage="1"/>
  </sheetPr>
  <dimension ref="A1:GT50"/>
  <sheetViews>
    <sheetView defaultGridColor="0" view="pageBreakPreview" colorId="22" zoomScale="90" zoomScaleNormal="110" zoomScaleSheetLayoutView="90" workbookViewId="0">
      <selection activeCell="A6" sqref="A6:A11"/>
    </sheetView>
  </sheetViews>
  <sheetFormatPr defaultColWidth="9" defaultRowHeight="15.5"/>
  <cols>
    <col min="1" max="1" width="8.23046875" style="26" customWidth="1"/>
    <col min="2" max="4" width="11.84375" style="3" customWidth="1"/>
    <col min="5" max="5" width="21" style="3" customWidth="1"/>
    <col min="6" max="6" width="8.07421875" style="3" customWidth="1"/>
    <col min="7" max="7" width="10.4609375" style="3" customWidth="1"/>
    <col min="8" max="10" width="9" style="89"/>
    <col min="11" max="11" width="15" style="89" customWidth="1"/>
    <col min="12" max="12" width="9" style="89"/>
    <col min="13" max="13" width="15.765625" style="89" customWidth="1"/>
    <col min="14" max="16384" width="9" style="3"/>
  </cols>
  <sheetData>
    <row r="1" spans="1:202" ht="24" customHeight="1">
      <c r="A1" s="269" t="s">
        <v>2</v>
      </c>
      <c r="B1" s="269"/>
      <c r="C1" s="269"/>
      <c r="D1" s="269"/>
      <c r="E1" s="269"/>
      <c r="F1" s="269"/>
      <c r="G1" s="269"/>
    </row>
    <row r="2" spans="1:202" ht="21.75" customHeight="1">
      <c r="A2" s="296" t="str">
        <f>'Colonist-6 Panel'!A2</f>
        <v>NET PRICE LIST (May 4, 2025)</v>
      </c>
      <c r="B2" s="296"/>
      <c r="C2" s="296"/>
      <c r="D2" s="296"/>
      <c r="E2" s="296"/>
      <c r="F2" s="296"/>
      <c r="G2" s="296"/>
    </row>
    <row r="3" spans="1:202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</row>
    <row r="4" spans="1:202" ht="11.25" customHeight="1">
      <c r="B4" s="1"/>
      <c r="C4" s="2"/>
      <c r="D4" s="2"/>
      <c r="E4" s="2"/>
      <c r="F4" s="2"/>
      <c r="G4" s="1"/>
    </row>
    <row r="5" spans="1:202" ht="13.5" customHeight="1">
      <c r="B5" s="10"/>
      <c r="C5" s="10"/>
      <c r="D5" s="10"/>
      <c r="E5" s="10"/>
      <c r="F5" s="10"/>
      <c r="G5" s="11"/>
    </row>
    <row r="6" spans="1:202" ht="20.25" customHeight="1">
      <c r="A6" s="263" t="s">
        <v>61</v>
      </c>
      <c r="B6" s="1"/>
      <c r="C6" s="1"/>
      <c r="D6" s="1"/>
      <c r="E6" s="1"/>
      <c r="F6" s="1"/>
      <c r="G6" s="1"/>
    </row>
    <row r="7" spans="1:202" ht="20.25" customHeight="1">
      <c r="A7" s="263"/>
      <c r="B7" s="1"/>
      <c r="C7" s="1"/>
      <c r="D7" s="1"/>
      <c r="E7" s="1"/>
      <c r="F7" s="1"/>
      <c r="G7" s="1"/>
    </row>
    <row r="8" spans="1:202" ht="15.75" customHeight="1">
      <c r="A8" s="263"/>
      <c r="B8" s="1"/>
      <c r="C8" s="1"/>
      <c r="D8" s="1"/>
      <c r="E8" s="1"/>
      <c r="F8" s="1"/>
      <c r="G8" s="1"/>
    </row>
    <row r="9" spans="1:202" ht="15.75" customHeight="1">
      <c r="A9" s="263"/>
      <c r="B9" s="1"/>
      <c r="C9" s="1"/>
      <c r="D9" s="1"/>
      <c r="E9" s="1"/>
      <c r="F9" s="1"/>
      <c r="G9" s="1"/>
    </row>
    <row r="10" spans="1:202" ht="20.25" customHeight="1">
      <c r="A10" s="263"/>
      <c r="B10" s="1"/>
      <c r="C10" s="1"/>
      <c r="D10" s="1"/>
      <c r="E10" s="1"/>
      <c r="F10" s="1"/>
      <c r="G10" s="1"/>
    </row>
    <row r="11" spans="1:202" ht="20.25" customHeight="1">
      <c r="A11" s="263"/>
      <c r="B11" s="1"/>
      <c r="C11" s="1"/>
      <c r="D11" s="1"/>
      <c r="E11" s="1"/>
      <c r="F11" s="1"/>
      <c r="G11" s="1"/>
    </row>
    <row r="12" spans="1:202" ht="9" customHeight="1" thickBot="1">
      <c r="B12" s="4"/>
      <c r="C12" s="5"/>
      <c r="D12" s="5"/>
      <c r="E12" s="5"/>
      <c r="F12" s="5"/>
      <c r="G12" s="6"/>
    </row>
    <row r="13" spans="1:202" ht="31.5" customHeight="1" thickTop="1" thickBot="1">
      <c r="A13" s="16"/>
      <c r="B13" s="15" t="s">
        <v>62</v>
      </c>
      <c r="C13" s="119"/>
      <c r="D13" s="32"/>
      <c r="E13" s="32"/>
      <c r="F13" s="32"/>
      <c r="G13" s="32"/>
      <c r="H13" s="91"/>
      <c r="I13" s="91"/>
      <c r="J13" s="91"/>
      <c r="K13" s="91"/>
      <c r="L13" s="91"/>
      <c r="M13" s="9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</row>
    <row r="14" spans="1:202" ht="31.5" customHeight="1" thickTop="1" thickBot="1">
      <c r="A14" s="21" t="s">
        <v>6</v>
      </c>
      <c r="B14" s="19" t="s">
        <v>7</v>
      </c>
      <c r="C14" s="34"/>
      <c r="D14" s="34"/>
      <c r="E14" s="34"/>
      <c r="F14" s="34"/>
      <c r="G14" s="34"/>
      <c r="H14" s="91"/>
      <c r="I14" s="91" t="s">
        <v>139</v>
      </c>
      <c r="J14" s="91" t="s">
        <v>140</v>
      </c>
      <c r="K14" s="233" t="s">
        <v>143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</row>
    <row r="15" spans="1:202" ht="23.25" customHeight="1" thickTop="1" thickBot="1">
      <c r="A15" s="21" t="s">
        <v>8</v>
      </c>
      <c r="B15" s="19" t="s">
        <v>49</v>
      </c>
      <c r="C15" s="34"/>
      <c r="D15" s="34"/>
      <c r="E15" s="34"/>
      <c r="F15" s="34"/>
      <c r="G15" s="13"/>
      <c r="H15" s="91" t="s">
        <v>141</v>
      </c>
      <c r="I15" s="91">
        <v>62</v>
      </c>
      <c r="J15" s="232">
        <v>0.06</v>
      </c>
      <c r="K15" s="91">
        <f>ROUNDUP(I15*(1+J15),0)</f>
        <v>66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</row>
    <row r="16" spans="1:202" ht="16.5" customHeight="1" thickTop="1" thickBot="1">
      <c r="A16" s="7"/>
      <c r="B16" s="9"/>
      <c r="C16" s="9"/>
      <c r="D16" s="10"/>
      <c r="E16" s="120"/>
      <c r="F16" s="9"/>
      <c r="G16" s="9"/>
      <c r="H16" s="91" t="s">
        <v>142</v>
      </c>
      <c r="I16" s="91">
        <v>75</v>
      </c>
      <c r="J16" s="232">
        <v>0.06</v>
      </c>
      <c r="K16" s="91">
        <f>ROUNDUP(I16*(1+J16),0)</f>
        <v>80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</row>
    <row r="17" spans="1:202" ht="36" customHeight="1" thickTop="1" thickBot="1">
      <c r="A17" s="264" t="s">
        <v>9</v>
      </c>
      <c r="B17" s="265"/>
      <c r="C17" s="265"/>
      <c r="D17" s="266"/>
      <c r="E17" s="126" t="str">
        <f>'Colonist-6 Panel'!E16</f>
        <v>Net Price</v>
      </c>
      <c r="F17" s="125"/>
      <c r="G17" s="129"/>
      <c r="H17" s="130"/>
      <c r="I17" s="91"/>
      <c r="J17" s="91"/>
      <c r="K17" s="91"/>
      <c r="L17" s="91"/>
      <c r="M17" s="9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</row>
    <row r="18" spans="1:202" ht="30" customHeight="1" thickTop="1" thickBot="1">
      <c r="A18" s="256" t="s">
        <v>57</v>
      </c>
      <c r="B18" s="256"/>
      <c r="C18" s="256"/>
      <c r="D18" s="256"/>
      <c r="E18" s="256"/>
      <c r="F18" s="256"/>
      <c r="G18" s="256"/>
      <c r="H18" s="234" t="s">
        <v>6</v>
      </c>
      <c r="I18" s="234" t="s">
        <v>138</v>
      </c>
      <c r="J18" s="234" t="s">
        <v>144</v>
      </c>
      <c r="K18" s="91"/>
      <c r="L18" s="91"/>
      <c r="M18" s="9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</row>
    <row r="19" spans="1:202">
      <c r="A19" s="257" t="s">
        <v>12</v>
      </c>
      <c r="B19" s="258"/>
      <c r="C19" s="259" t="s">
        <v>13</v>
      </c>
      <c r="D19" s="274"/>
      <c r="E19" s="78">
        <f t="shared" ref="E19:E31" si="0">J19</f>
        <v>134.11224489795919</v>
      </c>
      <c r="F19" s="83"/>
      <c r="G19" s="81"/>
      <c r="H19" s="130">
        <f>Conmore!E19</f>
        <v>68.112244897959187</v>
      </c>
      <c r="I19" s="91">
        <v>66</v>
      </c>
      <c r="J19" s="147">
        <f>H19+I19</f>
        <v>134.11224489795919</v>
      </c>
      <c r="K19" s="101"/>
      <c r="L19" s="101"/>
      <c r="M19" s="91"/>
      <c r="N19" s="95"/>
      <c r="O19" s="95"/>
      <c r="P19" s="95"/>
      <c r="Q19" s="95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</row>
    <row r="20" spans="1:202">
      <c r="A20" s="251" t="s">
        <v>14</v>
      </c>
      <c r="B20" s="252"/>
      <c r="C20" s="253" t="s">
        <v>15</v>
      </c>
      <c r="D20" s="272"/>
      <c r="E20" s="79">
        <f t="shared" si="0"/>
        <v>134.11224489795919</v>
      </c>
      <c r="F20" s="83"/>
      <c r="G20" s="81"/>
      <c r="H20" s="130">
        <f>Conmore!E20</f>
        <v>68.112244897959187</v>
      </c>
      <c r="I20" s="91">
        <v>66</v>
      </c>
      <c r="J20" s="147">
        <f t="shared" ref="J20:J31" si="1">H20+I20</f>
        <v>134.11224489795919</v>
      </c>
      <c r="K20" s="101"/>
      <c r="L20" s="101"/>
      <c r="M20" s="91"/>
      <c r="N20" s="95"/>
      <c r="O20" s="95"/>
      <c r="P20" s="95"/>
      <c r="Q20" s="95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</row>
    <row r="21" spans="1:202">
      <c r="A21" s="251" t="s">
        <v>16</v>
      </c>
      <c r="B21" s="252"/>
      <c r="C21" s="253" t="s">
        <v>17</v>
      </c>
      <c r="D21" s="272"/>
      <c r="E21" s="79">
        <f t="shared" si="0"/>
        <v>134.11224489795919</v>
      </c>
      <c r="F21" s="83"/>
      <c r="G21" s="81"/>
      <c r="H21" s="130">
        <f>Conmore!E21</f>
        <v>68.112244897959187</v>
      </c>
      <c r="I21" s="91">
        <v>66</v>
      </c>
      <c r="J21" s="147">
        <f t="shared" si="1"/>
        <v>134.11224489795919</v>
      </c>
      <c r="K21" s="101"/>
      <c r="L21" s="101"/>
      <c r="M21" s="91"/>
      <c r="N21" s="95"/>
      <c r="O21" s="95"/>
      <c r="P21" s="95"/>
      <c r="Q21" s="95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</row>
    <row r="22" spans="1:202">
      <c r="A22" s="251" t="s">
        <v>18</v>
      </c>
      <c r="B22" s="252"/>
      <c r="C22" s="253" t="s">
        <v>19</v>
      </c>
      <c r="D22" s="272"/>
      <c r="E22" s="79">
        <f t="shared" si="0"/>
        <v>134.11224489795919</v>
      </c>
      <c r="F22" s="83"/>
      <c r="G22" s="81"/>
      <c r="H22" s="130">
        <f>Conmore!E22</f>
        <v>68.112244897959187</v>
      </c>
      <c r="I22" s="91">
        <v>66</v>
      </c>
      <c r="J22" s="147">
        <f t="shared" si="1"/>
        <v>134.11224489795919</v>
      </c>
      <c r="K22" s="101"/>
      <c r="L22" s="101"/>
      <c r="M22" s="91"/>
      <c r="N22" s="95"/>
      <c r="O22" s="95"/>
      <c r="P22" s="95"/>
      <c r="Q22" s="95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</row>
    <row r="23" spans="1:202">
      <c r="A23" s="251" t="s">
        <v>20</v>
      </c>
      <c r="B23" s="252"/>
      <c r="C23" s="253" t="s">
        <v>21</v>
      </c>
      <c r="D23" s="272"/>
      <c r="E23" s="79">
        <f t="shared" si="0"/>
        <v>137.42857142857144</v>
      </c>
      <c r="F23" s="83"/>
      <c r="G23" s="81"/>
      <c r="H23" s="130">
        <f>Conmore!E23</f>
        <v>71.428571428571431</v>
      </c>
      <c r="I23" s="91">
        <v>66</v>
      </c>
      <c r="J23" s="147">
        <f t="shared" si="1"/>
        <v>137.42857142857144</v>
      </c>
      <c r="K23" s="101"/>
      <c r="L23" s="101"/>
      <c r="M23" s="91"/>
      <c r="N23" s="95"/>
      <c r="O23" s="95"/>
      <c r="P23" s="95"/>
      <c r="Q23" s="95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</row>
    <row r="24" spans="1:202">
      <c r="A24" s="251" t="s">
        <v>22</v>
      </c>
      <c r="B24" s="252"/>
      <c r="C24" s="253" t="s">
        <v>23</v>
      </c>
      <c r="D24" s="272"/>
      <c r="E24" s="79">
        <f t="shared" si="0"/>
        <v>137.42857142857144</v>
      </c>
      <c r="F24" s="83"/>
      <c r="G24" s="81"/>
      <c r="H24" s="130">
        <f>Conmore!E24</f>
        <v>71.428571428571431</v>
      </c>
      <c r="I24" s="91">
        <v>66</v>
      </c>
      <c r="J24" s="147">
        <f t="shared" si="1"/>
        <v>137.42857142857144</v>
      </c>
      <c r="K24" s="101"/>
      <c r="L24" s="101"/>
      <c r="M24" s="91"/>
      <c r="N24" s="95"/>
      <c r="O24" s="95"/>
      <c r="P24" s="95"/>
      <c r="Q24" s="95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</row>
    <row r="25" spans="1:202">
      <c r="A25" s="251" t="s">
        <v>24</v>
      </c>
      <c r="B25" s="252"/>
      <c r="C25" s="253" t="s">
        <v>25</v>
      </c>
      <c r="D25" s="272"/>
      <c r="E25" s="79">
        <f t="shared" si="0"/>
        <v>137.42857142857144</v>
      </c>
      <c r="F25" s="83"/>
      <c r="G25" s="81"/>
      <c r="H25" s="130">
        <f>Conmore!E25</f>
        <v>71.428571428571431</v>
      </c>
      <c r="I25" s="91">
        <v>66</v>
      </c>
      <c r="J25" s="147">
        <f t="shared" si="1"/>
        <v>137.42857142857144</v>
      </c>
      <c r="K25" s="101"/>
      <c r="L25" s="101"/>
      <c r="M25" s="91"/>
      <c r="N25" s="95"/>
      <c r="O25" s="95"/>
      <c r="P25" s="95"/>
      <c r="Q25" s="95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</row>
    <row r="26" spans="1:202" s="30" customFormat="1">
      <c r="A26" s="251" t="s">
        <v>26</v>
      </c>
      <c r="B26" s="252"/>
      <c r="C26" s="253" t="s">
        <v>27</v>
      </c>
      <c r="D26" s="272"/>
      <c r="E26" s="79">
        <f t="shared" si="0"/>
        <v>139.67346938775512</v>
      </c>
      <c r="F26" s="83"/>
      <c r="G26" s="81"/>
      <c r="H26" s="130">
        <f>Conmore!E26</f>
        <v>73.673469387755105</v>
      </c>
      <c r="I26" s="91">
        <v>66</v>
      </c>
      <c r="J26" s="147">
        <f t="shared" si="1"/>
        <v>139.67346938775512</v>
      </c>
      <c r="K26" s="101"/>
      <c r="L26" s="101"/>
      <c r="M26" s="91"/>
      <c r="N26" s="95"/>
      <c r="O26" s="95"/>
      <c r="P26" s="95"/>
      <c r="Q26" s="95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</row>
    <row r="27" spans="1:202" s="30" customFormat="1">
      <c r="A27" s="251" t="s">
        <v>28</v>
      </c>
      <c r="B27" s="252"/>
      <c r="C27" s="253" t="s">
        <v>29</v>
      </c>
      <c r="D27" s="272"/>
      <c r="E27" s="79">
        <f t="shared" si="0"/>
        <v>139.67346938775512</v>
      </c>
      <c r="F27" s="83"/>
      <c r="G27" s="81"/>
      <c r="H27" s="130">
        <f>Conmore!E27</f>
        <v>73.673469387755105</v>
      </c>
      <c r="I27" s="91">
        <v>66</v>
      </c>
      <c r="J27" s="147">
        <f t="shared" si="1"/>
        <v>139.67346938775512</v>
      </c>
      <c r="K27" s="101"/>
      <c r="L27" s="101"/>
      <c r="M27" s="91"/>
      <c r="N27" s="95"/>
      <c r="O27" s="95"/>
      <c r="P27" s="95"/>
      <c r="Q27" s="95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</row>
    <row r="28" spans="1:202" ht="15.75" customHeight="1">
      <c r="A28" s="251" t="s">
        <v>30</v>
      </c>
      <c r="B28" s="252"/>
      <c r="C28" s="253" t="s">
        <v>31</v>
      </c>
      <c r="D28" s="272"/>
      <c r="E28" s="79">
        <f t="shared" si="0"/>
        <v>139.67346938775512</v>
      </c>
      <c r="F28" s="83"/>
      <c r="G28" s="81"/>
      <c r="H28" s="130">
        <f>Conmore!E28</f>
        <v>73.673469387755105</v>
      </c>
      <c r="I28" s="91">
        <v>66</v>
      </c>
      <c r="J28" s="147">
        <f t="shared" si="1"/>
        <v>139.67346938775512</v>
      </c>
      <c r="K28" s="101"/>
      <c r="L28" s="101"/>
      <c r="M28" s="91"/>
      <c r="N28" s="95"/>
      <c r="O28" s="95"/>
      <c r="P28" s="95"/>
      <c r="Q28" s="95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</row>
    <row r="29" spans="1:202">
      <c r="A29" s="251" t="s">
        <v>32</v>
      </c>
      <c r="B29" s="252"/>
      <c r="C29" s="253" t="s">
        <v>33</v>
      </c>
      <c r="D29" s="272"/>
      <c r="E29" s="79">
        <f t="shared" si="0"/>
        <v>142.0204081632653</v>
      </c>
      <c r="F29" s="83"/>
      <c r="G29" s="81"/>
      <c r="H29" s="130">
        <f>Conmore!E29</f>
        <v>76.020408163265301</v>
      </c>
      <c r="I29" s="91">
        <v>66</v>
      </c>
      <c r="J29" s="147">
        <f t="shared" si="1"/>
        <v>142.0204081632653</v>
      </c>
      <c r="K29" s="101"/>
      <c r="L29" s="101"/>
      <c r="M29" s="91"/>
      <c r="N29" s="95"/>
      <c r="O29" s="95"/>
      <c r="P29" s="95"/>
      <c r="Q29" s="95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</row>
    <row r="30" spans="1:202">
      <c r="A30" s="251" t="s">
        <v>34</v>
      </c>
      <c r="B30" s="252"/>
      <c r="C30" s="253" t="s">
        <v>35</v>
      </c>
      <c r="D30" s="272"/>
      <c r="E30" s="79">
        <f t="shared" si="0"/>
        <v>145.33673469387753</v>
      </c>
      <c r="F30" s="83"/>
      <c r="G30" s="81"/>
      <c r="H30" s="130">
        <f>Conmore!E30</f>
        <v>79.336734693877546</v>
      </c>
      <c r="I30" s="91">
        <v>66</v>
      </c>
      <c r="J30" s="147">
        <f t="shared" si="1"/>
        <v>145.33673469387753</v>
      </c>
      <c r="K30" s="101"/>
      <c r="L30" s="101"/>
      <c r="N30" s="95"/>
      <c r="O30" s="95"/>
      <c r="P30" s="95"/>
      <c r="Q30" s="95"/>
    </row>
    <row r="31" spans="1:202" ht="16.149999999999999" customHeight="1">
      <c r="A31" s="251" t="s">
        <v>36</v>
      </c>
      <c r="B31" s="252"/>
      <c r="C31" s="253" t="s">
        <v>37</v>
      </c>
      <c r="D31" s="272"/>
      <c r="E31" s="79">
        <f t="shared" si="0"/>
        <v>145.33673469387753</v>
      </c>
      <c r="F31" s="83"/>
      <c r="G31" s="81"/>
      <c r="H31" s="130">
        <f>Conmore!E31</f>
        <v>79.336734693877546</v>
      </c>
      <c r="I31" s="91">
        <v>66</v>
      </c>
      <c r="J31" s="147">
        <f t="shared" si="1"/>
        <v>145.33673469387753</v>
      </c>
      <c r="K31" s="101"/>
      <c r="L31" s="101"/>
      <c r="N31" s="95"/>
      <c r="O31" s="95"/>
      <c r="P31" s="95"/>
      <c r="Q31" s="95"/>
    </row>
    <row r="32" spans="1:202" ht="16.149999999999999" customHeight="1">
      <c r="A32" s="254" t="s">
        <v>38</v>
      </c>
      <c r="B32" s="255"/>
      <c r="C32" s="255"/>
      <c r="D32" s="281"/>
      <c r="E32" s="79">
        <f>J32</f>
        <v>35.700000000000003</v>
      </c>
      <c r="F32" s="83"/>
      <c r="G32" s="81"/>
      <c r="H32" s="131"/>
      <c r="I32" s="91"/>
      <c r="J32" s="147">
        <v>35.700000000000003</v>
      </c>
      <c r="K32" s="101"/>
      <c r="L32" s="101"/>
      <c r="N32" s="95"/>
      <c r="O32" s="95"/>
      <c r="P32" s="95"/>
      <c r="Q32" s="95"/>
    </row>
    <row r="33" spans="1:17" ht="16.149999999999999" customHeight="1" thickBot="1">
      <c r="A33" s="249" t="s">
        <v>39</v>
      </c>
      <c r="B33" s="250"/>
      <c r="C33" s="250"/>
      <c r="D33" s="282"/>
      <c r="E33" s="80">
        <f>J33</f>
        <v>97.350000000000009</v>
      </c>
      <c r="F33" s="83"/>
      <c r="G33" s="81"/>
      <c r="H33" s="131"/>
      <c r="I33" s="91"/>
      <c r="J33" s="147">
        <v>97.350000000000009</v>
      </c>
      <c r="K33" s="101"/>
      <c r="L33" s="101"/>
      <c r="N33" s="95"/>
      <c r="O33" s="95"/>
      <c r="P33" s="95"/>
      <c r="Q33" s="95"/>
    </row>
    <row r="34" spans="1:17" ht="30.75" customHeight="1" thickBot="1">
      <c r="A34" s="256" t="s">
        <v>58</v>
      </c>
      <c r="B34" s="256"/>
      <c r="C34" s="256"/>
      <c r="D34" s="256"/>
      <c r="E34" s="256"/>
      <c r="F34" s="256"/>
      <c r="G34" s="256"/>
      <c r="H34" s="131"/>
      <c r="I34" s="91"/>
      <c r="J34" s="101"/>
      <c r="K34" s="101"/>
      <c r="L34" s="101"/>
      <c r="N34" s="95"/>
      <c r="O34" s="95"/>
      <c r="P34" s="95"/>
      <c r="Q34" s="95"/>
    </row>
    <row r="35" spans="1:17" ht="15" customHeight="1">
      <c r="A35" s="257" t="s">
        <v>12</v>
      </c>
      <c r="B35" s="258"/>
      <c r="C35" s="259" t="s">
        <v>13</v>
      </c>
      <c r="D35" s="274"/>
      <c r="E35" s="78">
        <f t="shared" ref="E35:E49" si="2">J35</f>
        <v>148.11224489795919</v>
      </c>
      <c r="F35" s="81"/>
      <c r="G35" s="81"/>
      <c r="H35" s="131">
        <f>H19</f>
        <v>68.112244897959187</v>
      </c>
      <c r="I35" s="91">
        <v>80</v>
      </c>
      <c r="J35" s="147">
        <f>H35+I35</f>
        <v>148.11224489795919</v>
      </c>
      <c r="K35" s="101"/>
      <c r="L35" s="101"/>
      <c r="N35" s="95"/>
      <c r="O35" s="95"/>
      <c r="P35" s="95"/>
      <c r="Q35" s="95"/>
    </row>
    <row r="36" spans="1:17" ht="15" customHeight="1">
      <c r="A36" s="251" t="s">
        <v>14</v>
      </c>
      <c r="B36" s="252"/>
      <c r="C36" s="253" t="s">
        <v>15</v>
      </c>
      <c r="D36" s="272"/>
      <c r="E36" s="79">
        <f t="shared" si="2"/>
        <v>148.11224489795919</v>
      </c>
      <c r="F36" s="81"/>
      <c r="G36" s="81"/>
      <c r="H36" s="131">
        <f t="shared" ref="H36:H47" si="3">H20</f>
        <v>68.112244897959187</v>
      </c>
      <c r="I36" s="91">
        <v>80</v>
      </c>
      <c r="J36" s="147">
        <f t="shared" ref="J36:J47" si="4">H36+I36</f>
        <v>148.11224489795919</v>
      </c>
      <c r="K36" s="101"/>
      <c r="L36" s="101"/>
      <c r="N36" s="95"/>
      <c r="O36" s="95"/>
      <c r="P36" s="95"/>
      <c r="Q36" s="95"/>
    </row>
    <row r="37" spans="1:17" ht="15" customHeight="1">
      <c r="A37" s="251" t="s">
        <v>16</v>
      </c>
      <c r="B37" s="252"/>
      <c r="C37" s="253" t="s">
        <v>17</v>
      </c>
      <c r="D37" s="272"/>
      <c r="E37" s="79">
        <f t="shared" si="2"/>
        <v>148.11224489795919</v>
      </c>
      <c r="F37" s="81"/>
      <c r="G37" s="81"/>
      <c r="H37" s="131">
        <f t="shared" si="3"/>
        <v>68.112244897959187</v>
      </c>
      <c r="I37" s="91">
        <v>80</v>
      </c>
      <c r="J37" s="147">
        <f t="shared" si="4"/>
        <v>148.11224489795919</v>
      </c>
      <c r="K37" s="101"/>
      <c r="L37" s="101"/>
      <c r="N37" s="95"/>
      <c r="O37" s="95"/>
      <c r="P37" s="95"/>
      <c r="Q37" s="95"/>
    </row>
    <row r="38" spans="1:17" ht="15" customHeight="1">
      <c r="A38" s="251" t="s">
        <v>18</v>
      </c>
      <c r="B38" s="252"/>
      <c r="C38" s="253" t="s">
        <v>19</v>
      </c>
      <c r="D38" s="272"/>
      <c r="E38" s="79">
        <f t="shared" si="2"/>
        <v>148.11224489795919</v>
      </c>
      <c r="F38" s="81"/>
      <c r="G38" s="81"/>
      <c r="H38" s="131">
        <f t="shared" si="3"/>
        <v>68.112244897959187</v>
      </c>
      <c r="I38" s="91">
        <v>80</v>
      </c>
      <c r="J38" s="147">
        <f t="shared" si="4"/>
        <v>148.11224489795919</v>
      </c>
      <c r="K38" s="101"/>
      <c r="L38" s="101"/>
      <c r="N38" s="95"/>
      <c r="O38" s="95"/>
      <c r="P38" s="95"/>
      <c r="Q38" s="95"/>
    </row>
    <row r="39" spans="1:17" ht="15" customHeight="1">
      <c r="A39" s="251" t="s">
        <v>20</v>
      </c>
      <c r="B39" s="252"/>
      <c r="C39" s="253" t="s">
        <v>21</v>
      </c>
      <c r="D39" s="272"/>
      <c r="E39" s="79">
        <f t="shared" si="2"/>
        <v>151.42857142857144</v>
      </c>
      <c r="F39" s="81"/>
      <c r="G39" s="81"/>
      <c r="H39" s="131">
        <f t="shared" si="3"/>
        <v>71.428571428571431</v>
      </c>
      <c r="I39" s="91">
        <v>80</v>
      </c>
      <c r="J39" s="147">
        <f t="shared" si="4"/>
        <v>151.42857142857144</v>
      </c>
      <c r="K39" s="101"/>
      <c r="L39" s="101"/>
      <c r="N39" s="95"/>
      <c r="O39" s="95"/>
      <c r="P39" s="95"/>
      <c r="Q39" s="95"/>
    </row>
    <row r="40" spans="1:17" ht="15" customHeight="1">
      <c r="A40" s="251" t="s">
        <v>22</v>
      </c>
      <c r="B40" s="252"/>
      <c r="C40" s="253" t="s">
        <v>23</v>
      </c>
      <c r="D40" s="272"/>
      <c r="E40" s="79">
        <f t="shared" si="2"/>
        <v>151.42857142857144</v>
      </c>
      <c r="F40" s="81"/>
      <c r="G40" s="81"/>
      <c r="H40" s="131">
        <f t="shared" si="3"/>
        <v>71.428571428571431</v>
      </c>
      <c r="I40" s="91">
        <v>80</v>
      </c>
      <c r="J40" s="147">
        <f t="shared" si="4"/>
        <v>151.42857142857144</v>
      </c>
      <c r="K40" s="101"/>
      <c r="L40" s="101"/>
      <c r="N40" s="95"/>
      <c r="O40" s="95"/>
      <c r="P40" s="95"/>
      <c r="Q40" s="95"/>
    </row>
    <row r="41" spans="1:17" ht="15" customHeight="1">
      <c r="A41" s="251" t="s">
        <v>24</v>
      </c>
      <c r="B41" s="252"/>
      <c r="C41" s="253" t="s">
        <v>25</v>
      </c>
      <c r="D41" s="272"/>
      <c r="E41" s="79">
        <f t="shared" si="2"/>
        <v>151.42857142857144</v>
      </c>
      <c r="F41" s="81"/>
      <c r="G41" s="81"/>
      <c r="H41" s="131">
        <f t="shared" si="3"/>
        <v>71.428571428571431</v>
      </c>
      <c r="I41" s="91">
        <v>80</v>
      </c>
      <c r="J41" s="147">
        <f t="shared" si="4"/>
        <v>151.42857142857144</v>
      </c>
      <c r="K41" s="101"/>
      <c r="L41" s="101"/>
      <c r="N41" s="95"/>
      <c r="O41" s="95"/>
      <c r="P41" s="95"/>
      <c r="Q41" s="95"/>
    </row>
    <row r="42" spans="1:17" ht="15" customHeight="1">
      <c r="A42" s="251" t="s">
        <v>26</v>
      </c>
      <c r="B42" s="252"/>
      <c r="C42" s="253" t="s">
        <v>27</v>
      </c>
      <c r="D42" s="272"/>
      <c r="E42" s="79">
        <f t="shared" si="2"/>
        <v>153.67346938775512</v>
      </c>
      <c r="F42" s="81"/>
      <c r="G42" s="81"/>
      <c r="H42" s="131">
        <f t="shared" si="3"/>
        <v>73.673469387755105</v>
      </c>
      <c r="I42" s="91">
        <v>80</v>
      </c>
      <c r="J42" s="147">
        <f t="shared" si="4"/>
        <v>153.67346938775512</v>
      </c>
      <c r="K42" s="101"/>
      <c r="L42" s="101"/>
      <c r="N42" s="95"/>
      <c r="O42" s="95"/>
      <c r="P42" s="95"/>
      <c r="Q42" s="95"/>
    </row>
    <row r="43" spans="1:17" ht="15" customHeight="1">
      <c r="A43" s="251" t="s">
        <v>28</v>
      </c>
      <c r="B43" s="252"/>
      <c r="C43" s="253" t="s">
        <v>29</v>
      </c>
      <c r="D43" s="272"/>
      <c r="E43" s="79">
        <f t="shared" si="2"/>
        <v>153.67346938775512</v>
      </c>
      <c r="F43" s="81"/>
      <c r="G43" s="81"/>
      <c r="H43" s="131">
        <f t="shared" si="3"/>
        <v>73.673469387755105</v>
      </c>
      <c r="I43" s="91">
        <v>80</v>
      </c>
      <c r="J43" s="147">
        <f t="shared" si="4"/>
        <v>153.67346938775512</v>
      </c>
      <c r="K43" s="101"/>
      <c r="L43" s="101"/>
      <c r="N43" s="95"/>
      <c r="O43" s="95"/>
      <c r="P43" s="95"/>
      <c r="Q43" s="95"/>
    </row>
    <row r="44" spans="1:17">
      <c r="A44" s="251" t="s">
        <v>30</v>
      </c>
      <c r="B44" s="252"/>
      <c r="C44" s="253" t="s">
        <v>31</v>
      </c>
      <c r="D44" s="272"/>
      <c r="E44" s="79">
        <f t="shared" si="2"/>
        <v>153.67346938775512</v>
      </c>
      <c r="F44" s="81"/>
      <c r="G44" s="81"/>
      <c r="H44" s="131">
        <f t="shared" si="3"/>
        <v>73.673469387755105</v>
      </c>
      <c r="I44" s="91">
        <v>80</v>
      </c>
      <c r="J44" s="147">
        <f t="shared" si="4"/>
        <v>153.67346938775512</v>
      </c>
      <c r="K44" s="101"/>
      <c r="L44" s="101"/>
      <c r="N44" s="95"/>
      <c r="O44" s="95"/>
      <c r="P44" s="95"/>
      <c r="Q44" s="95"/>
    </row>
    <row r="45" spans="1:17">
      <c r="A45" s="251" t="s">
        <v>32</v>
      </c>
      <c r="B45" s="252"/>
      <c r="C45" s="253" t="s">
        <v>33</v>
      </c>
      <c r="D45" s="272"/>
      <c r="E45" s="79">
        <f t="shared" si="2"/>
        <v>156.0204081632653</v>
      </c>
      <c r="F45" s="81"/>
      <c r="G45" s="81"/>
      <c r="H45" s="131">
        <f t="shared" si="3"/>
        <v>76.020408163265301</v>
      </c>
      <c r="I45" s="91">
        <v>80</v>
      </c>
      <c r="J45" s="147">
        <f t="shared" si="4"/>
        <v>156.0204081632653</v>
      </c>
      <c r="K45" s="101"/>
      <c r="L45" s="101"/>
      <c r="N45" s="95"/>
      <c r="O45" s="95"/>
      <c r="P45" s="95"/>
      <c r="Q45" s="95"/>
    </row>
    <row r="46" spans="1:17">
      <c r="A46" s="251" t="s">
        <v>34</v>
      </c>
      <c r="B46" s="252"/>
      <c r="C46" s="253" t="s">
        <v>35</v>
      </c>
      <c r="D46" s="272"/>
      <c r="E46" s="79">
        <f t="shared" si="2"/>
        <v>159.33673469387753</v>
      </c>
      <c r="F46" s="81"/>
      <c r="G46" s="81"/>
      <c r="H46" s="131">
        <f t="shared" si="3"/>
        <v>79.336734693877546</v>
      </c>
      <c r="I46" s="91">
        <v>80</v>
      </c>
      <c r="J46" s="147">
        <f t="shared" si="4"/>
        <v>159.33673469387753</v>
      </c>
      <c r="K46" s="101"/>
      <c r="L46" s="101"/>
      <c r="N46" s="95"/>
      <c r="O46" s="95"/>
      <c r="P46" s="95"/>
      <c r="Q46" s="95"/>
    </row>
    <row r="47" spans="1:17" ht="16.149999999999999" customHeight="1">
      <c r="A47" s="251" t="s">
        <v>36</v>
      </c>
      <c r="B47" s="252"/>
      <c r="C47" s="253" t="s">
        <v>37</v>
      </c>
      <c r="D47" s="272"/>
      <c r="E47" s="79">
        <f t="shared" si="2"/>
        <v>159.33673469387753</v>
      </c>
      <c r="F47" s="81"/>
      <c r="G47" s="81"/>
      <c r="H47" s="131">
        <f t="shared" si="3"/>
        <v>79.336734693877546</v>
      </c>
      <c r="I47" s="91">
        <v>80</v>
      </c>
      <c r="J47" s="147">
        <f t="shared" si="4"/>
        <v>159.33673469387753</v>
      </c>
      <c r="K47" s="101"/>
      <c r="L47" s="101"/>
      <c r="N47" s="95"/>
      <c r="O47" s="95"/>
      <c r="P47" s="95"/>
      <c r="Q47" s="95"/>
    </row>
    <row r="48" spans="1:17" ht="16.149999999999999" customHeight="1">
      <c r="A48" s="254" t="s">
        <v>38</v>
      </c>
      <c r="B48" s="255"/>
      <c r="C48" s="255"/>
      <c r="D48" s="281"/>
      <c r="E48" s="79">
        <f t="shared" si="2"/>
        <v>35.700000000000003</v>
      </c>
      <c r="F48" s="81"/>
      <c r="G48" s="81"/>
      <c r="H48" s="131"/>
      <c r="I48" s="91"/>
      <c r="J48" s="147">
        <v>35.700000000000003</v>
      </c>
      <c r="K48" s="101"/>
      <c r="L48" s="101"/>
    </row>
    <row r="49" spans="1:12" ht="16.149999999999999" customHeight="1" thickBot="1">
      <c r="A49" s="249" t="s">
        <v>39</v>
      </c>
      <c r="B49" s="250"/>
      <c r="C49" s="250"/>
      <c r="D49" s="282"/>
      <c r="E49" s="80">
        <f t="shared" si="2"/>
        <v>97.350000000000009</v>
      </c>
      <c r="F49" s="81"/>
      <c r="G49" s="81"/>
      <c r="H49" s="131"/>
      <c r="I49" s="91"/>
      <c r="J49" s="147">
        <v>97.350000000000009</v>
      </c>
      <c r="K49" s="101"/>
      <c r="L49" s="101"/>
    </row>
    <row r="50" spans="1:12" ht="30" customHeight="1">
      <c r="A50" s="256"/>
      <c r="B50" s="256"/>
      <c r="C50" s="256"/>
      <c r="D50" s="256"/>
      <c r="E50" s="256"/>
      <c r="F50" s="256"/>
      <c r="G50" s="256"/>
    </row>
  </sheetData>
  <mergeCells count="64">
    <mergeCell ref="A48:D48"/>
    <mergeCell ref="A49:D49"/>
    <mergeCell ref="A50:G50"/>
    <mergeCell ref="A45:B45"/>
    <mergeCell ref="C45:D45"/>
    <mergeCell ref="A46:B46"/>
    <mergeCell ref="C46:D46"/>
    <mergeCell ref="A47:B47"/>
    <mergeCell ref="C47:D47"/>
    <mergeCell ref="A42:B42"/>
    <mergeCell ref="C42:D42"/>
    <mergeCell ref="A43:B43"/>
    <mergeCell ref="C43:D43"/>
    <mergeCell ref="A44:B44"/>
    <mergeCell ref="C44:D44"/>
    <mergeCell ref="A39:B39"/>
    <mergeCell ref="C39:D39"/>
    <mergeCell ref="A40:B40"/>
    <mergeCell ref="C40:D40"/>
    <mergeCell ref="A41:B41"/>
    <mergeCell ref="C41:D41"/>
    <mergeCell ref="A36:B36"/>
    <mergeCell ref="C36:D36"/>
    <mergeCell ref="A37:B37"/>
    <mergeCell ref="C37:D37"/>
    <mergeCell ref="A38:B38"/>
    <mergeCell ref="C38:D38"/>
    <mergeCell ref="A35:B35"/>
    <mergeCell ref="C35:D35"/>
    <mergeCell ref="A28:B28"/>
    <mergeCell ref="C28:D28"/>
    <mergeCell ref="A29:B29"/>
    <mergeCell ref="C29:D29"/>
    <mergeCell ref="A30:B30"/>
    <mergeCell ref="C30:D30"/>
    <mergeCell ref="A31:B31"/>
    <mergeCell ref="C31:D31"/>
    <mergeCell ref="A32:D32"/>
    <mergeCell ref="A33:D33"/>
    <mergeCell ref="A34:G34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8:G18"/>
    <mergeCell ref="A1:G1"/>
    <mergeCell ref="A2:G2"/>
    <mergeCell ref="A3:G3"/>
    <mergeCell ref="A6:A11"/>
    <mergeCell ref="A17:D17"/>
  </mergeCells>
  <printOptions horizontalCentered="1"/>
  <pageMargins left="0.196850393700787" right="0.196850393700787" top="0.39370078740157499" bottom="0.59055118110236204" header="0" footer="0.196850393700787"/>
  <pageSetup scale="82" orientation="portrait" r:id="rId1"/>
  <headerFooter alignWithMargins="0">
    <oddFooter>&amp;L&amp;P
&amp;RMay 4, 2025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87D8-C19F-4052-8E68-EE5090634766}">
  <sheetPr transitionEvaluation="1">
    <tabColor theme="9" tint="0.59999389629810485"/>
    <pageSetUpPr fitToPage="1"/>
  </sheetPr>
  <dimension ref="A1:GT49"/>
  <sheetViews>
    <sheetView defaultGridColor="0" view="pageBreakPreview" colorId="22" zoomScale="90" zoomScaleNormal="110" zoomScaleSheetLayoutView="90" workbookViewId="0">
      <selection activeCell="A6" sqref="A6:A11"/>
    </sheetView>
  </sheetViews>
  <sheetFormatPr defaultColWidth="9" defaultRowHeight="15.5"/>
  <cols>
    <col min="1" max="1" width="8.23046875" style="26" customWidth="1"/>
    <col min="2" max="4" width="11.84375" style="3" customWidth="1"/>
    <col min="5" max="5" width="17.23046875" style="3" customWidth="1"/>
    <col min="6" max="6" width="7.765625" style="3" customWidth="1"/>
    <col min="7" max="7" width="13.53515625" style="3" customWidth="1"/>
    <col min="8" max="14" width="9" style="89"/>
    <col min="15" max="16384" width="9" style="3"/>
  </cols>
  <sheetData>
    <row r="1" spans="1:202" ht="24" customHeight="1">
      <c r="A1" s="269" t="s">
        <v>2</v>
      </c>
      <c r="B1" s="269"/>
      <c r="C1" s="269"/>
      <c r="D1" s="269"/>
      <c r="E1" s="269"/>
      <c r="F1" s="269"/>
      <c r="G1" s="269"/>
    </row>
    <row r="2" spans="1:202" ht="21.75" customHeight="1">
      <c r="A2" s="296" t="str">
        <f>'Colonist-6 Panel'!A2</f>
        <v>NET PRICE LIST (May 4, 2025)</v>
      </c>
      <c r="B2" s="296"/>
      <c r="C2" s="296"/>
      <c r="D2" s="296"/>
      <c r="E2" s="296"/>
      <c r="F2" s="296"/>
      <c r="G2" s="296"/>
    </row>
    <row r="3" spans="1:202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</row>
    <row r="4" spans="1:202" ht="11.25" customHeight="1">
      <c r="B4" s="1"/>
      <c r="C4" s="2"/>
      <c r="D4" s="2"/>
      <c r="E4" s="2"/>
      <c r="F4" s="2"/>
      <c r="G4" s="1"/>
    </row>
    <row r="5" spans="1:202" ht="13.5" customHeight="1">
      <c r="B5" s="10"/>
      <c r="C5" s="10"/>
      <c r="D5" s="10"/>
      <c r="E5" s="10"/>
      <c r="F5" s="10"/>
      <c r="G5" s="11"/>
    </row>
    <row r="6" spans="1:202" ht="20.25" customHeight="1">
      <c r="A6" s="263" t="s">
        <v>61</v>
      </c>
      <c r="B6" s="1"/>
      <c r="C6" s="1"/>
      <c r="D6" s="1"/>
      <c r="E6" s="1"/>
      <c r="F6" s="1"/>
      <c r="G6" s="1"/>
    </row>
    <row r="7" spans="1:202" ht="20.25" customHeight="1">
      <c r="A7" s="263"/>
      <c r="B7" s="1"/>
      <c r="C7" s="1"/>
      <c r="D7" s="1"/>
      <c r="E7" s="1"/>
      <c r="F7" s="1"/>
      <c r="G7" s="1"/>
    </row>
    <row r="8" spans="1:202" ht="15.75" customHeight="1">
      <c r="A8" s="263"/>
      <c r="B8" s="1"/>
      <c r="C8" s="1"/>
      <c r="D8" s="1"/>
      <c r="E8" s="1"/>
      <c r="F8" s="1"/>
      <c r="G8" s="1"/>
    </row>
    <row r="9" spans="1:202" ht="15.75" customHeight="1">
      <c r="A9" s="263"/>
      <c r="B9" s="1"/>
      <c r="C9" s="1"/>
      <c r="D9" s="1"/>
      <c r="E9" s="1"/>
      <c r="F9" s="1"/>
      <c r="G9" s="1"/>
    </row>
    <row r="10" spans="1:202" ht="20.25" customHeight="1">
      <c r="A10" s="263"/>
      <c r="B10" s="1"/>
      <c r="C10" s="1"/>
      <c r="D10" s="1"/>
      <c r="E10" s="1"/>
      <c r="F10" s="1"/>
      <c r="G10" s="1"/>
    </row>
    <row r="11" spans="1:202" ht="20.25" customHeight="1">
      <c r="A11" s="263"/>
      <c r="B11" s="1"/>
      <c r="C11" s="1"/>
      <c r="D11" s="1"/>
      <c r="E11" s="1"/>
      <c r="F11" s="1"/>
      <c r="G11" s="1"/>
    </row>
    <row r="12" spans="1:202" ht="9" customHeight="1" thickBot="1">
      <c r="B12" s="4"/>
      <c r="C12" s="5"/>
      <c r="D12" s="5"/>
      <c r="E12" s="5"/>
      <c r="F12" s="5"/>
      <c r="G12" s="6"/>
    </row>
    <row r="13" spans="1:202" ht="38.25" customHeight="1" thickTop="1" thickBot="1">
      <c r="A13" s="16"/>
      <c r="B13" s="15" t="s">
        <v>62</v>
      </c>
      <c r="C13" s="119"/>
      <c r="D13" s="32"/>
      <c r="E13" s="32"/>
      <c r="F13" s="32"/>
      <c r="G13" s="32"/>
      <c r="H13" s="90"/>
      <c r="I13" s="90"/>
      <c r="J13" s="90"/>
      <c r="K13" s="90"/>
      <c r="L13" s="90"/>
      <c r="M13" s="90"/>
      <c r="N13" s="90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</row>
    <row r="14" spans="1:202" ht="16.5" thickTop="1" thickBot="1">
      <c r="A14" s="21" t="s">
        <v>6</v>
      </c>
      <c r="B14" s="19" t="s">
        <v>7</v>
      </c>
      <c r="C14" s="34"/>
      <c r="D14" s="34"/>
      <c r="E14" s="34"/>
      <c r="F14" s="34"/>
      <c r="G14" s="34"/>
      <c r="H14" s="90"/>
      <c r="I14" s="90"/>
      <c r="J14" s="90"/>
      <c r="K14" s="90"/>
      <c r="L14" s="90"/>
      <c r="M14" s="90"/>
      <c r="N14" s="9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</row>
    <row r="15" spans="1:202" ht="16.5" thickTop="1" thickBot="1">
      <c r="A15" s="21" t="s">
        <v>8</v>
      </c>
      <c r="B15" s="19" t="s">
        <v>49</v>
      </c>
      <c r="C15" s="34"/>
      <c r="D15" s="34"/>
      <c r="E15" s="34"/>
      <c r="F15" s="34"/>
      <c r="G15" s="13"/>
      <c r="H15" s="90"/>
      <c r="I15" s="90"/>
      <c r="J15" s="90"/>
      <c r="K15" s="90"/>
      <c r="L15" s="90"/>
      <c r="M15" s="90"/>
      <c r="N15" s="90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</row>
    <row r="16" spans="1:202" ht="16.5" customHeight="1" thickTop="1" thickBot="1">
      <c r="A16" s="7"/>
      <c r="B16" s="9"/>
      <c r="C16" s="9"/>
      <c r="D16" s="10"/>
      <c r="E16" s="9"/>
      <c r="F16" s="9"/>
      <c r="G16" s="9"/>
      <c r="H16" s="90"/>
      <c r="I16" s="90"/>
      <c r="J16" s="90"/>
      <c r="K16" s="90"/>
      <c r="L16" s="90"/>
      <c r="M16" s="90"/>
      <c r="N16" s="90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</row>
    <row r="17" spans="1:202" ht="36" customHeight="1" thickTop="1" thickBot="1">
      <c r="A17" s="264" t="s">
        <v>9</v>
      </c>
      <c r="B17" s="265"/>
      <c r="C17" s="265"/>
      <c r="D17" s="266"/>
      <c r="E17" s="126" t="str">
        <f>'Colonist-6 Panel'!E16</f>
        <v>Net Price</v>
      </c>
      <c r="F17" s="125"/>
      <c r="G17" s="129"/>
      <c r="H17" s="90"/>
      <c r="I17" s="90"/>
      <c r="J17" s="90"/>
      <c r="K17" s="90"/>
      <c r="L17" s="90"/>
      <c r="M17" s="90"/>
      <c r="N17" s="90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</row>
    <row r="18" spans="1:202" ht="30" customHeight="1" thickTop="1" thickBot="1">
      <c r="A18" s="273" t="s">
        <v>59</v>
      </c>
      <c r="B18" s="273"/>
      <c r="C18" s="273"/>
      <c r="D18" s="273"/>
      <c r="E18" s="273"/>
      <c r="F18" s="256"/>
      <c r="G18" s="256"/>
      <c r="H18" s="90"/>
      <c r="I18" s="90"/>
      <c r="J18" s="90"/>
      <c r="K18" s="90"/>
      <c r="L18" s="90"/>
      <c r="M18" s="90"/>
      <c r="N18" s="90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</row>
    <row r="19" spans="1:202">
      <c r="A19" s="257" t="s">
        <v>12</v>
      </c>
      <c r="B19" s="258"/>
      <c r="C19" s="259" t="s">
        <v>13</v>
      </c>
      <c r="D19" s="274"/>
      <c r="E19" s="78" t="s">
        <v>51</v>
      </c>
      <c r="F19" s="83"/>
      <c r="G19" s="81"/>
      <c r="H19" s="90"/>
      <c r="I19" s="90"/>
      <c r="J19" s="90"/>
      <c r="K19" s="90"/>
      <c r="L19" s="90"/>
      <c r="M19" s="90"/>
      <c r="N19" s="90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</row>
    <row r="20" spans="1:202">
      <c r="A20" s="251" t="s">
        <v>14</v>
      </c>
      <c r="B20" s="252"/>
      <c r="C20" s="253" t="s">
        <v>15</v>
      </c>
      <c r="D20" s="272"/>
      <c r="E20" s="79" t="s">
        <v>51</v>
      </c>
      <c r="F20" s="83"/>
      <c r="G20" s="81"/>
      <c r="H20" s="90"/>
      <c r="I20" s="90"/>
      <c r="J20" s="90"/>
      <c r="K20" s="90"/>
      <c r="L20" s="90"/>
      <c r="M20" s="90"/>
      <c r="N20" s="90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</row>
    <row r="21" spans="1:202">
      <c r="A21" s="251" t="s">
        <v>16</v>
      </c>
      <c r="B21" s="252"/>
      <c r="C21" s="253" t="s">
        <v>17</v>
      </c>
      <c r="D21" s="272"/>
      <c r="E21" s="79" t="s">
        <v>51</v>
      </c>
      <c r="F21" s="83"/>
      <c r="G21" s="81"/>
      <c r="H21" s="132"/>
      <c r="I21" s="90"/>
      <c r="J21" s="90"/>
      <c r="K21" s="90"/>
      <c r="L21" s="90"/>
      <c r="M21" s="90"/>
      <c r="N21" s="90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</row>
    <row r="22" spans="1:202">
      <c r="A22" s="251" t="s">
        <v>18</v>
      </c>
      <c r="B22" s="252"/>
      <c r="C22" s="253" t="s">
        <v>19</v>
      </c>
      <c r="D22" s="272"/>
      <c r="E22" s="79" t="s">
        <v>51</v>
      </c>
      <c r="F22" s="83"/>
      <c r="G22" s="81"/>
      <c r="H22" s="132"/>
      <c r="I22" s="90"/>
      <c r="J22" s="90"/>
      <c r="K22" s="90"/>
      <c r="L22" s="90"/>
      <c r="M22" s="90"/>
      <c r="N22" s="90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</row>
    <row r="23" spans="1:202">
      <c r="A23" s="251" t="s">
        <v>20</v>
      </c>
      <c r="B23" s="252"/>
      <c r="C23" s="253" t="s">
        <v>21</v>
      </c>
      <c r="D23" s="272"/>
      <c r="E23" s="79" t="s">
        <v>51</v>
      </c>
      <c r="F23" s="83"/>
      <c r="G23" s="81"/>
      <c r="H23" s="132"/>
      <c r="I23" s="90"/>
      <c r="J23" s="90"/>
      <c r="K23" s="90"/>
      <c r="L23" s="90"/>
      <c r="M23" s="90"/>
      <c r="N23" s="90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</row>
    <row r="24" spans="1:202">
      <c r="A24" s="251" t="s">
        <v>22</v>
      </c>
      <c r="B24" s="252"/>
      <c r="C24" s="253" t="s">
        <v>23</v>
      </c>
      <c r="D24" s="272"/>
      <c r="E24" s="79" t="s">
        <v>51</v>
      </c>
      <c r="F24" s="83"/>
      <c r="G24" s="81"/>
      <c r="H24" s="132"/>
      <c r="I24" s="90"/>
      <c r="J24" s="90"/>
      <c r="K24" s="90"/>
      <c r="L24" s="90"/>
      <c r="M24" s="90"/>
      <c r="N24" s="90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</row>
    <row r="25" spans="1:202">
      <c r="A25" s="251" t="s">
        <v>24</v>
      </c>
      <c r="B25" s="252"/>
      <c r="C25" s="253" t="s">
        <v>25</v>
      </c>
      <c r="D25" s="272"/>
      <c r="E25" s="79" t="s">
        <v>51</v>
      </c>
      <c r="F25" s="83"/>
      <c r="G25" s="81"/>
      <c r="H25" s="132"/>
      <c r="I25" s="90"/>
      <c r="J25" s="90"/>
      <c r="K25" s="90"/>
      <c r="L25" s="90"/>
      <c r="M25" s="90"/>
      <c r="N25" s="90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</row>
    <row r="26" spans="1:202" s="30" customFormat="1">
      <c r="A26" s="251" t="s">
        <v>26</v>
      </c>
      <c r="B26" s="252"/>
      <c r="C26" s="253" t="s">
        <v>27</v>
      </c>
      <c r="D26" s="272"/>
      <c r="E26" s="82" t="s">
        <v>51</v>
      </c>
      <c r="F26" s="128"/>
      <c r="G26" s="144"/>
      <c r="H26" s="132"/>
      <c r="I26" s="90"/>
      <c r="J26" s="90"/>
      <c r="K26" s="90"/>
      <c r="L26" s="90"/>
      <c r="M26" s="90"/>
      <c r="N26" s="90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</row>
    <row r="27" spans="1:202" s="30" customFormat="1">
      <c r="A27" s="251" t="s">
        <v>28</v>
      </c>
      <c r="B27" s="252"/>
      <c r="C27" s="253" t="s">
        <v>29</v>
      </c>
      <c r="D27" s="272"/>
      <c r="E27" s="82" t="s">
        <v>51</v>
      </c>
      <c r="F27" s="128"/>
      <c r="G27" s="144"/>
      <c r="H27" s="132"/>
      <c r="I27" s="90"/>
      <c r="J27" s="90"/>
      <c r="K27" s="90"/>
      <c r="L27" s="90"/>
      <c r="M27" s="90"/>
      <c r="N27" s="90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</row>
    <row r="28" spans="1:202" ht="15.75" customHeight="1">
      <c r="A28" s="251" t="s">
        <v>30</v>
      </c>
      <c r="B28" s="252"/>
      <c r="C28" s="253" t="s">
        <v>31</v>
      </c>
      <c r="D28" s="272"/>
      <c r="E28" s="79" t="s">
        <v>51</v>
      </c>
      <c r="F28" s="83"/>
      <c r="G28" s="81"/>
      <c r="H28" s="132"/>
      <c r="I28" s="90"/>
      <c r="J28" s="90"/>
      <c r="K28" s="90"/>
      <c r="L28" s="90"/>
      <c r="M28" s="90"/>
      <c r="N28" s="90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</row>
    <row r="29" spans="1:202">
      <c r="A29" s="251" t="s">
        <v>32</v>
      </c>
      <c r="B29" s="252"/>
      <c r="C29" s="253" t="s">
        <v>33</v>
      </c>
      <c r="D29" s="272"/>
      <c r="E29" s="79" t="s">
        <v>51</v>
      </c>
      <c r="F29" s="83"/>
      <c r="G29" s="81"/>
      <c r="H29" s="132"/>
      <c r="I29" s="90"/>
      <c r="J29" s="90"/>
      <c r="K29" s="90"/>
      <c r="L29" s="90"/>
      <c r="M29" s="90"/>
      <c r="N29" s="90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</row>
    <row r="30" spans="1:202">
      <c r="A30" s="251" t="s">
        <v>34</v>
      </c>
      <c r="B30" s="252"/>
      <c r="C30" s="253" t="s">
        <v>35</v>
      </c>
      <c r="D30" s="272"/>
      <c r="E30" s="79" t="s">
        <v>51</v>
      </c>
      <c r="F30" s="83"/>
      <c r="G30" s="81"/>
      <c r="H30" s="131"/>
    </row>
    <row r="31" spans="1:202" ht="16.149999999999999" customHeight="1" thickBot="1">
      <c r="A31" s="321" t="s">
        <v>36</v>
      </c>
      <c r="B31" s="322"/>
      <c r="C31" s="323" t="s">
        <v>37</v>
      </c>
      <c r="D31" s="324"/>
      <c r="E31" s="80" t="s">
        <v>51</v>
      </c>
      <c r="F31" s="83"/>
      <c r="G31" s="81"/>
      <c r="H31"/>
    </row>
    <row r="32" spans="1:202" s="31" customFormat="1" ht="30.75" customHeight="1" thickBot="1">
      <c r="A32" s="325" t="s">
        <v>60</v>
      </c>
      <c r="B32" s="325"/>
      <c r="C32" s="325"/>
      <c r="D32" s="325"/>
      <c r="E32" s="325"/>
      <c r="F32" s="256"/>
      <c r="G32" s="256"/>
      <c r="H32"/>
      <c r="I32"/>
      <c r="J32"/>
      <c r="K32"/>
      <c r="L32"/>
      <c r="M32"/>
      <c r="N32" s="89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</row>
    <row r="33" spans="1:202" s="31" customFormat="1" ht="15" customHeight="1">
      <c r="A33" s="257" t="s">
        <v>12</v>
      </c>
      <c r="B33" s="258"/>
      <c r="C33" s="259" t="s">
        <v>13</v>
      </c>
      <c r="D33" s="274"/>
      <c r="E33" s="148">
        <v>206.58163265306121</v>
      </c>
      <c r="F33" s="83"/>
      <c r="G33" s="81"/>
      <c r="H33"/>
      <c r="I33"/>
      <c r="J33"/>
      <c r="K33"/>
      <c r="L33"/>
      <c r="M33"/>
      <c r="N33" s="96"/>
      <c r="O33" s="97"/>
      <c r="P33" s="97"/>
      <c r="Q33" s="97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</row>
    <row r="34" spans="1:202" s="31" customFormat="1" ht="15" customHeight="1">
      <c r="A34" s="251" t="s">
        <v>14</v>
      </c>
      <c r="B34" s="252"/>
      <c r="C34" s="253" t="s">
        <v>15</v>
      </c>
      <c r="D34" s="272"/>
      <c r="E34" s="149">
        <v>206.58163265306121</v>
      </c>
      <c r="F34" s="83"/>
      <c r="G34" s="81"/>
      <c r="H34"/>
      <c r="I34"/>
      <c r="J34"/>
      <c r="K34"/>
      <c r="L34"/>
      <c r="M34"/>
      <c r="N34" s="96"/>
      <c r="O34" s="97"/>
      <c r="P34" s="97"/>
      <c r="Q34" s="9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</row>
    <row r="35" spans="1:202" s="31" customFormat="1" ht="15" customHeight="1">
      <c r="A35" s="251" t="s">
        <v>16</v>
      </c>
      <c r="B35" s="252"/>
      <c r="C35" s="253" t="s">
        <v>17</v>
      </c>
      <c r="D35" s="272"/>
      <c r="E35" s="149">
        <v>206.58163265306121</v>
      </c>
      <c r="F35" s="83"/>
      <c r="G35" s="81"/>
      <c r="H35"/>
      <c r="I35"/>
      <c r="J35"/>
      <c r="K35"/>
      <c r="L35"/>
      <c r="M35"/>
      <c r="N35" s="96"/>
      <c r="O35" s="97"/>
      <c r="P35" s="97"/>
      <c r="Q35" s="9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</row>
    <row r="36" spans="1:202" s="31" customFormat="1" ht="15" customHeight="1">
      <c r="A36" s="251" t="s">
        <v>18</v>
      </c>
      <c r="B36" s="252"/>
      <c r="C36" s="253" t="s">
        <v>19</v>
      </c>
      <c r="D36" s="272"/>
      <c r="E36" s="149">
        <v>206.58163265306121</v>
      </c>
      <c r="F36" s="83"/>
      <c r="G36" s="81"/>
      <c r="H36"/>
      <c r="I36"/>
      <c r="J36"/>
      <c r="K36"/>
      <c r="L36"/>
      <c r="M36"/>
      <c r="N36" s="96"/>
      <c r="O36" s="97"/>
      <c r="P36" s="97"/>
      <c r="Q36" s="9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</row>
    <row r="37" spans="1:202" s="31" customFormat="1" ht="15" customHeight="1">
      <c r="A37" s="251" t="s">
        <v>20</v>
      </c>
      <c r="B37" s="252"/>
      <c r="C37" s="253" t="s">
        <v>21</v>
      </c>
      <c r="D37" s="272"/>
      <c r="E37" s="149">
        <v>209.89795918367346</v>
      </c>
      <c r="F37" s="83"/>
      <c r="G37" s="81"/>
      <c r="H37"/>
      <c r="I37"/>
      <c r="J37"/>
      <c r="K37"/>
      <c r="L37"/>
      <c r="M37"/>
      <c r="N37" s="96"/>
      <c r="O37" s="97"/>
      <c r="P37" s="97"/>
      <c r="Q37" s="9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</row>
    <row r="38" spans="1:202" s="31" customFormat="1" ht="15" customHeight="1">
      <c r="A38" s="251" t="s">
        <v>22</v>
      </c>
      <c r="B38" s="252"/>
      <c r="C38" s="253" t="s">
        <v>23</v>
      </c>
      <c r="D38" s="272"/>
      <c r="E38" s="149">
        <v>209.89795918367346</v>
      </c>
      <c r="F38" s="83"/>
      <c r="G38" s="81"/>
      <c r="H38"/>
      <c r="I38"/>
      <c r="J38"/>
      <c r="K38"/>
      <c r="L38"/>
      <c r="M38"/>
      <c r="N38" s="96"/>
      <c r="O38" s="97"/>
      <c r="P38" s="97"/>
      <c r="Q38" s="9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</row>
    <row r="39" spans="1:202" s="31" customFormat="1" ht="15" customHeight="1">
      <c r="A39" s="251" t="s">
        <v>24</v>
      </c>
      <c r="B39" s="252"/>
      <c r="C39" s="253" t="s">
        <v>25</v>
      </c>
      <c r="D39" s="272"/>
      <c r="E39" s="149">
        <v>209.89795918367346</v>
      </c>
      <c r="F39" s="83"/>
      <c r="G39" s="81"/>
      <c r="H39"/>
      <c r="I39"/>
      <c r="J39"/>
      <c r="K39"/>
      <c r="L39"/>
      <c r="M39"/>
      <c r="N39" s="96"/>
      <c r="O39" s="97"/>
      <c r="P39" s="97"/>
      <c r="Q39" s="97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</row>
    <row r="40" spans="1:202" s="31" customFormat="1" ht="15" customHeight="1">
      <c r="A40" s="251" t="s">
        <v>26</v>
      </c>
      <c r="B40" s="252"/>
      <c r="C40" s="253" t="s">
        <v>27</v>
      </c>
      <c r="D40" s="272"/>
      <c r="E40" s="149">
        <v>212.14285714285711</v>
      </c>
      <c r="F40" s="83"/>
      <c r="G40" s="81"/>
      <c r="H40"/>
      <c r="I40"/>
      <c r="J40"/>
      <c r="K40"/>
      <c r="L40"/>
      <c r="M40"/>
      <c r="N40" s="96"/>
      <c r="O40" s="97"/>
      <c r="P40" s="97"/>
      <c r="Q40" s="9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</row>
    <row r="41" spans="1:202" s="31" customFormat="1" ht="15" customHeight="1">
      <c r="A41" s="251" t="s">
        <v>28</v>
      </c>
      <c r="B41" s="252"/>
      <c r="C41" s="253" t="s">
        <v>29</v>
      </c>
      <c r="D41" s="272"/>
      <c r="E41" s="149">
        <v>212.14285714285711</v>
      </c>
      <c r="F41" s="83"/>
      <c r="G41" s="81"/>
      <c r="H41"/>
      <c r="I41"/>
      <c r="J41"/>
      <c r="K41"/>
      <c r="L41"/>
      <c r="M41"/>
      <c r="N41" s="96"/>
      <c r="O41" s="97"/>
      <c r="P41" s="97"/>
      <c r="Q41" s="97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</row>
    <row r="42" spans="1:202" s="31" customFormat="1">
      <c r="A42" s="251" t="s">
        <v>30</v>
      </c>
      <c r="B42" s="252"/>
      <c r="C42" s="253" t="s">
        <v>31</v>
      </c>
      <c r="D42" s="272"/>
      <c r="E42" s="149">
        <v>212.14285714285711</v>
      </c>
      <c r="F42" s="83"/>
      <c r="G42" s="81"/>
      <c r="H42"/>
      <c r="I42"/>
      <c r="J42"/>
      <c r="K42"/>
      <c r="L42"/>
      <c r="M42"/>
      <c r="N42" s="96"/>
      <c r="O42" s="97"/>
      <c r="P42" s="97"/>
      <c r="Q42" s="9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</row>
    <row r="43" spans="1:202" s="31" customFormat="1">
      <c r="A43" s="251" t="s">
        <v>32</v>
      </c>
      <c r="B43" s="252"/>
      <c r="C43" s="253" t="s">
        <v>33</v>
      </c>
      <c r="D43" s="272"/>
      <c r="E43" s="149">
        <v>214.48979591836735</v>
      </c>
      <c r="F43" s="83"/>
      <c r="G43" s="81"/>
      <c r="H43"/>
      <c r="I43"/>
      <c r="J43"/>
      <c r="K43"/>
      <c r="L43"/>
      <c r="M43"/>
      <c r="N43" s="96"/>
      <c r="O43" s="97"/>
      <c r="P43" s="97"/>
      <c r="Q43" s="9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</row>
    <row r="44" spans="1:202" s="31" customFormat="1">
      <c r="A44" s="251" t="s">
        <v>34</v>
      </c>
      <c r="B44" s="252"/>
      <c r="C44" s="253" t="s">
        <v>35</v>
      </c>
      <c r="D44" s="272"/>
      <c r="E44" s="149">
        <v>217.80612244897958</v>
      </c>
      <c r="F44" s="83"/>
      <c r="G44" s="81"/>
      <c r="H44"/>
      <c r="I44"/>
      <c r="J44"/>
      <c r="K44"/>
      <c r="L44"/>
      <c r="M44"/>
      <c r="N44" s="96"/>
      <c r="O44" s="97"/>
      <c r="P44" s="97"/>
      <c r="Q44" s="9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</row>
    <row r="45" spans="1:202" s="31" customFormat="1" ht="16.149999999999999" customHeight="1">
      <c r="A45" s="251" t="s">
        <v>36</v>
      </c>
      <c r="B45" s="252"/>
      <c r="C45" s="253" t="s">
        <v>37</v>
      </c>
      <c r="D45" s="272"/>
      <c r="E45" s="149">
        <v>217.80612244897958</v>
      </c>
      <c r="F45" s="83"/>
      <c r="G45" s="81"/>
      <c r="H45"/>
      <c r="I45"/>
      <c r="J45"/>
      <c r="K45"/>
      <c r="L45"/>
      <c r="M45"/>
      <c r="N45" s="96"/>
      <c r="O45" s="97"/>
      <c r="P45" s="97"/>
      <c r="Q45" s="9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</row>
    <row r="46" spans="1:202" s="31" customFormat="1" ht="16.149999999999999" customHeight="1">
      <c r="A46" s="254" t="s">
        <v>38</v>
      </c>
      <c r="B46" s="255"/>
      <c r="C46" s="255"/>
      <c r="D46" s="281"/>
      <c r="E46" s="79">
        <v>18.350000000000001</v>
      </c>
      <c r="F46" s="83"/>
      <c r="G46" s="81"/>
      <c r="H46"/>
      <c r="I46"/>
      <c r="J46"/>
      <c r="K46"/>
      <c r="L46"/>
      <c r="M46"/>
      <c r="N46" s="96"/>
      <c r="O46" s="98"/>
      <c r="P46" s="98"/>
      <c r="Q46" s="98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</row>
    <row r="47" spans="1:202" s="31" customFormat="1" ht="16.149999999999999" customHeight="1" thickBot="1">
      <c r="A47" s="249" t="s">
        <v>39</v>
      </c>
      <c r="B47" s="250"/>
      <c r="C47" s="250"/>
      <c r="D47" s="282"/>
      <c r="E47" s="80">
        <v>116.85000000000001</v>
      </c>
      <c r="F47" s="83"/>
      <c r="G47" s="81"/>
      <c r="H47"/>
      <c r="I47"/>
      <c r="J47"/>
      <c r="K47"/>
      <c r="L47"/>
      <c r="M47"/>
      <c r="N47" s="8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</row>
    <row r="48" spans="1:202" ht="21.75" customHeight="1">
      <c r="I48"/>
      <c r="J48"/>
      <c r="K48"/>
      <c r="L48"/>
      <c r="M48"/>
    </row>
    <row r="49" spans="9:13">
      <c r="I49"/>
      <c r="J49"/>
      <c r="K49"/>
      <c r="L49"/>
      <c r="M49"/>
    </row>
  </sheetData>
  <mergeCells count="61">
    <mergeCell ref="A47:D47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D46"/>
    <mergeCell ref="A38:B38"/>
    <mergeCell ref="C38:D38"/>
    <mergeCell ref="A39:B39"/>
    <mergeCell ref="C39:D39"/>
    <mergeCell ref="A40:B40"/>
    <mergeCell ref="C40:D40"/>
    <mergeCell ref="A35:B35"/>
    <mergeCell ref="C35:D35"/>
    <mergeCell ref="A36:B36"/>
    <mergeCell ref="C36:D36"/>
    <mergeCell ref="A37:B37"/>
    <mergeCell ref="C37:D37"/>
    <mergeCell ref="A34:B34"/>
    <mergeCell ref="C34:D34"/>
    <mergeCell ref="A28:B28"/>
    <mergeCell ref="C28:D28"/>
    <mergeCell ref="A29:B29"/>
    <mergeCell ref="C29:D29"/>
    <mergeCell ref="A30:B30"/>
    <mergeCell ref="C30:D30"/>
    <mergeCell ref="A31:B31"/>
    <mergeCell ref="C31:D31"/>
    <mergeCell ref="A32:G32"/>
    <mergeCell ref="A33:B33"/>
    <mergeCell ref="C33:D33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8:G18"/>
    <mergeCell ref="A1:G1"/>
    <mergeCell ref="A2:G2"/>
    <mergeCell ref="A3:G3"/>
    <mergeCell ref="A6:A11"/>
    <mergeCell ref="A17:D17"/>
  </mergeCells>
  <printOptions horizontalCentered="1"/>
  <pageMargins left="0.196850393700787" right="0.196850393700787" top="0.39370078740157499" bottom="0.59055118110236204" header="0" footer="0.196850393700787"/>
  <pageSetup scale="87" orientation="portrait" r:id="rId1"/>
  <headerFooter alignWithMargins="0">
    <oddFooter>&amp;L&amp;P
&amp;RMay 4, 2025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0200-A9B0-47A6-894D-6D5B51E3C0BB}">
  <sheetPr transitionEvaluation="1">
    <tabColor theme="9" tint="0.59999389629810485"/>
    <pageSetUpPr fitToPage="1"/>
  </sheetPr>
  <dimension ref="A1:GT67"/>
  <sheetViews>
    <sheetView defaultGridColor="0" view="pageBreakPreview" colorId="22" zoomScale="90" zoomScaleNormal="110" zoomScaleSheetLayoutView="90" workbookViewId="0">
      <selection activeCell="A6" sqref="A6:A11"/>
    </sheetView>
  </sheetViews>
  <sheetFormatPr defaultColWidth="9" defaultRowHeight="15.5"/>
  <cols>
    <col min="1" max="1" width="8.23046875" style="26" customWidth="1"/>
    <col min="2" max="6" width="11.84375" style="3" customWidth="1"/>
    <col min="7" max="7" width="17.69140625" style="3" customWidth="1"/>
    <col min="8" max="13" width="9" style="89"/>
    <col min="14" max="16384" width="9" style="3"/>
  </cols>
  <sheetData>
    <row r="1" spans="1:202" ht="24" customHeight="1">
      <c r="A1" s="269" t="s">
        <v>2</v>
      </c>
      <c r="B1" s="269"/>
      <c r="C1" s="269"/>
      <c r="D1" s="269"/>
      <c r="E1" s="269"/>
      <c r="F1" s="269"/>
      <c r="G1" s="269"/>
    </row>
    <row r="2" spans="1:202" ht="21.75" customHeight="1">
      <c r="A2" s="296" t="str">
        <f>'Colonist-6 Panel'!A2</f>
        <v>NET PRICE LIST (May 4, 2025)</v>
      </c>
      <c r="B2" s="296"/>
      <c r="C2" s="296"/>
      <c r="D2" s="296"/>
      <c r="E2" s="296"/>
      <c r="F2" s="296"/>
      <c r="G2" s="296"/>
    </row>
    <row r="3" spans="1:202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</row>
    <row r="4" spans="1:202" ht="11.25" customHeight="1">
      <c r="B4" s="1"/>
      <c r="C4" s="2"/>
      <c r="D4" s="2"/>
      <c r="E4" s="2"/>
      <c r="F4" s="2"/>
      <c r="G4" s="1"/>
    </row>
    <row r="5" spans="1:202" ht="13.5" customHeight="1">
      <c r="B5" s="10"/>
      <c r="C5" s="10"/>
      <c r="D5" s="10"/>
      <c r="E5" s="10"/>
      <c r="F5" s="10"/>
      <c r="G5" s="11"/>
    </row>
    <row r="6" spans="1:202" ht="20.25" customHeight="1">
      <c r="A6" s="263" t="s">
        <v>61</v>
      </c>
      <c r="B6" s="1"/>
      <c r="C6" s="1"/>
      <c r="D6" s="1"/>
      <c r="E6" s="1"/>
      <c r="F6" s="1"/>
      <c r="G6" s="1"/>
    </row>
    <row r="7" spans="1:202" ht="20.25" customHeight="1">
      <c r="A7" s="263"/>
      <c r="B7" s="1"/>
      <c r="C7" s="1"/>
      <c r="D7" s="1"/>
      <c r="E7" s="1"/>
      <c r="F7" s="1"/>
      <c r="G7" s="1"/>
    </row>
    <row r="8" spans="1:202" ht="15.75" customHeight="1">
      <c r="A8" s="263"/>
      <c r="B8" s="1"/>
      <c r="C8" s="1"/>
      <c r="D8" s="1"/>
      <c r="E8" s="1"/>
      <c r="F8" s="1"/>
      <c r="G8" s="1"/>
    </row>
    <row r="9" spans="1:202" ht="15.75" customHeight="1">
      <c r="A9" s="263"/>
      <c r="B9" s="1"/>
      <c r="C9" s="1"/>
      <c r="D9" s="1"/>
      <c r="E9" s="1"/>
      <c r="F9" s="1"/>
      <c r="G9" s="1"/>
    </row>
    <row r="10" spans="1:202" ht="20.25" customHeight="1">
      <c r="A10" s="263"/>
      <c r="B10" s="1"/>
      <c r="C10" s="1"/>
      <c r="D10" s="1"/>
      <c r="E10" s="1"/>
      <c r="F10" s="1"/>
      <c r="G10" s="1"/>
    </row>
    <row r="11" spans="1:202" ht="20.25" customHeight="1">
      <c r="A11" s="263"/>
      <c r="B11" s="1"/>
      <c r="C11" s="1"/>
      <c r="D11" s="1"/>
      <c r="E11" s="1"/>
      <c r="F11" s="1"/>
      <c r="G11" s="1"/>
    </row>
    <row r="12" spans="1:202" ht="9" customHeight="1" thickBot="1">
      <c r="B12" s="4"/>
      <c r="C12" s="5"/>
      <c r="D12" s="5"/>
      <c r="E12" s="5"/>
      <c r="F12" s="5"/>
      <c r="G12" s="6"/>
    </row>
    <row r="13" spans="1:202" ht="38.25" customHeight="1" thickTop="1" thickBot="1">
      <c r="A13" s="16"/>
      <c r="B13" s="18" t="s">
        <v>63</v>
      </c>
      <c r="C13" s="15" t="s">
        <v>64</v>
      </c>
      <c r="D13" s="15" t="s">
        <v>65</v>
      </c>
      <c r="E13" s="15" t="s">
        <v>66</v>
      </c>
      <c r="G13" s="32"/>
      <c r="H13" s="91"/>
      <c r="I13" s="91"/>
      <c r="J13" s="91"/>
      <c r="K13" s="91"/>
      <c r="L13" s="91"/>
      <c r="M13" s="9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</row>
    <row r="14" spans="1:202" ht="16.5" thickTop="1" thickBot="1">
      <c r="A14" s="21" t="s">
        <v>6</v>
      </c>
      <c r="B14" s="19" t="s">
        <v>49</v>
      </c>
      <c r="C14" s="19" t="s">
        <v>7</v>
      </c>
      <c r="D14" s="19" t="s">
        <v>7</v>
      </c>
      <c r="E14" s="19" t="s">
        <v>7</v>
      </c>
      <c r="G14" s="34"/>
      <c r="H14" s="91"/>
      <c r="I14" s="91"/>
      <c r="J14" s="91"/>
      <c r="K14" s="91"/>
      <c r="L14" s="91"/>
      <c r="M14" s="9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</row>
    <row r="15" spans="1:202" ht="16.5" thickTop="1" thickBot="1">
      <c r="A15" s="21" t="s">
        <v>8</v>
      </c>
      <c r="B15" s="19" t="s">
        <v>49</v>
      </c>
      <c r="C15" s="19" t="s">
        <v>49</v>
      </c>
      <c r="D15" s="19" t="s">
        <v>49</v>
      </c>
      <c r="E15" s="19" t="s">
        <v>49</v>
      </c>
      <c r="G15" s="13"/>
      <c r="H15" s="91"/>
      <c r="I15" s="91"/>
      <c r="J15" s="91"/>
      <c r="K15" s="91"/>
      <c r="L15" s="91"/>
      <c r="M15" s="9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</row>
    <row r="16" spans="1:202" ht="16.5" customHeight="1" thickTop="1" thickBot="1">
      <c r="A16" s="7"/>
      <c r="B16" s="9"/>
      <c r="C16" s="9"/>
      <c r="D16" s="10"/>
      <c r="E16" s="9"/>
      <c r="F16" s="9"/>
      <c r="G16" s="9"/>
      <c r="H16" s="91"/>
      <c r="I16" s="91"/>
      <c r="J16" s="91"/>
      <c r="K16" s="91"/>
      <c r="L16" s="91"/>
      <c r="M16" s="9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</row>
    <row r="17" spans="1:202" ht="36" customHeight="1" thickTop="1" thickBot="1">
      <c r="A17" s="264" t="s">
        <v>9</v>
      </c>
      <c r="B17" s="265"/>
      <c r="C17" s="265"/>
      <c r="D17" s="266"/>
      <c r="E17" s="270" t="str">
        <f>'Colonist-6 Panel'!E16</f>
        <v>Net Price</v>
      </c>
      <c r="F17" s="271"/>
      <c r="G17" s="129"/>
      <c r="H17" s="130"/>
      <c r="I17" s="91"/>
      <c r="J17" s="91"/>
      <c r="K17" s="91"/>
      <c r="L17" s="91"/>
      <c r="M17" s="9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</row>
    <row r="18" spans="1:202" ht="30" customHeight="1" thickTop="1" thickBot="1">
      <c r="A18" s="304" t="s">
        <v>11</v>
      </c>
      <c r="B18" s="304"/>
      <c r="C18" s="304"/>
      <c r="D18" s="304"/>
      <c r="E18" s="304"/>
      <c r="F18" s="256"/>
      <c r="G18" s="256"/>
      <c r="H18" s="130"/>
      <c r="I18" s="91"/>
      <c r="J18" s="91"/>
      <c r="K18" s="91"/>
      <c r="L18" s="91"/>
      <c r="M18" s="9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</row>
    <row r="19" spans="1:202">
      <c r="A19" s="257" t="s">
        <v>12</v>
      </c>
      <c r="B19" s="258"/>
      <c r="C19" s="259" t="s">
        <v>13</v>
      </c>
      <c r="D19" s="274"/>
      <c r="E19" s="294">
        <f>H19</f>
        <v>75.153061224489804</v>
      </c>
      <c r="F19" s="295">
        <v>70.930000000000007</v>
      </c>
      <c r="G19" s="81"/>
      <c r="H19" s="130">
        <v>75.153061224489804</v>
      </c>
      <c r="I19" s="229"/>
      <c r="J19"/>
      <c r="K19" s="101"/>
      <c r="L19" s="101"/>
      <c r="M19" s="91"/>
      <c r="N19" s="95"/>
      <c r="O19" s="95"/>
      <c r="P19" s="95"/>
      <c r="Q19" s="95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</row>
    <row r="20" spans="1:202">
      <c r="A20" s="251" t="s">
        <v>14</v>
      </c>
      <c r="B20" s="252"/>
      <c r="C20" s="253" t="s">
        <v>15</v>
      </c>
      <c r="D20" s="272"/>
      <c r="E20" s="289">
        <f t="shared" ref="E20:E31" si="0">H20</f>
        <v>75.153061224489804</v>
      </c>
      <c r="F20" s="290">
        <v>70.930000000000007</v>
      </c>
      <c r="G20" s="81"/>
      <c r="H20" s="130">
        <v>75.153061224489804</v>
      </c>
      <c r="I20"/>
      <c r="J20"/>
      <c r="K20" s="101"/>
      <c r="L20" s="101"/>
      <c r="M20" s="91"/>
      <c r="N20" s="95"/>
      <c r="O20" s="95"/>
      <c r="P20" s="95"/>
      <c r="Q20" s="95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</row>
    <row r="21" spans="1:202">
      <c r="A21" s="251" t="s">
        <v>16</v>
      </c>
      <c r="B21" s="252"/>
      <c r="C21" s="253" t="s">
        <v>17</v>
      </c>
      <c r="D21" s="272"/>
      <c r="E21" s="289">
        <f t="shared" si="0"/>
        <v>75.153061224489804</v>
      </c>
      <c r="F21" s="290">
        <v>70.930000000000007</v>
      </c>
      <c r="G21" s="81"/>
      <c r="H21" s="130">
        <v>75.153061224489804</v>
      </c>
      <c r="I21"/>
      <c r="J21"/>
      <c r="K21" s="101"/>
      <c r="L21" s="101"/>
      <c r="M21" s="91"/>
      <c r="N21" s="95"/>
      <c r="O21" s="95"/>
      <c r="P21" s="95"/>
      <c r="Q21" s="95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</row>
    <row r="22" spans="1:202">
      <c r="A22" s="251" t="s">
        <v>18</v>
      </c>
      <c r="B22" s="252"/>
      <c r="C22" s="253" t="s">
        <v>19</v>
      </c>
      <c r="D22" s="272"/>
      <c r="E22" s="289">
        <f t="shared" si="0"/>
        <v>75.153061224489804</v>
      </c>
      <c r="F22" s="290">
        <v>70.930000000000007</v>
      </c>
      <c r="G22" s="81"/>
      <c r="H22" s="130">
        <v>75.153061224489804</v>
      </c>
      <c r="I22"/>
      <c r="J22"/>
      <c r="K22" s="101"/>
      <c r="L22" s="101"/>
      <c r="M22" s="91"/>
      <c r="N22" s="95"/>
      <c r="O22" s="95"/>
      <c r="P22" s="95"/>
      <c r="Q22" s="95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</row>
    <row r="23" spans="1:202">
      <c r="A23" s="251" t="s">
        <v>20</v>
      </c>
      <c r="B23" s="252"/>
      <c r="C23" s="253" t="s">
        <v>21</v>
      </c>
      <c r="D23" s="272"/>
      <c r="E23" s="289">
        <f t="shared" si="0"/>
        <v>78.469387755102048</v>
      </c>
      <c r="F23" s="290">
        <v>70.930000000000007</v>
      </c>
      <c r="G23" s="81"/>
      <c r="H23" s="130">
        <v>78.469387755102048</v>
      </c>
      <c r="I23"/>
      <c r="J23"/>
      <c r="K23" s="101"/>
      <c r="L23" s="101"/>
      <c r="M23" s="91"/>
      <c r="N23" s="95"/>
      <c r="O23" s="95"/>
      <c r="P23" s="95"/>
      <c r="Q23" s="95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</row>
    <row r="24" spans="1:202">
      <c r="A24" s="251" t="s">
        <v>22</v>
      </c>
      <c r="B24" s="252"/>
      <c r="C24" s="253" t="s">
        <v>23</v>
      </c>
      <c r="D24" s="272"/>
      <c r="E24" s="289">
        <f t="shared" si="0"/>
        <v>78.469387755102048</v>
      </c>
      <c r="F24" s="290">
        <v>70.930000000000007</v>
      </c>
      <c r="G24" s="81"/>
      <c r="H24" s="130">
        <v>78.469387755102048</v>
      </c>
      <c r="I24"/>
      <c r="J24"/>
      <c r="K24" s="101"/>
      <c r="L24" s="101"/>
      <c r="M24" s="91"/>
      <c r="N24" s="95"/>
      <c r="O24" s="95"/>
      <c r="P24" s="95"/>
      <c r="Q24" s="95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</row>
    <row r="25" spans="1:202">
      <c r="A25" s="251" t="s">
        <v>24</v>
      </c>
      <c r="B25" s="252"/>
      <c r="C25" s="253" t="s">
        <v>25</v>
      </c>
      <c r="D25" s="272"/>
      <c r="E25" s="289">
        <f t="shared" si="0"/>
        <v>78.469387755102048</v>
      </c>
      <c r="F25" s="290">
        <v>70.930000000000007</v>
      </c>
      <c r="G25" s="81"/>
      <c r="H25" s="130">
        <v>78.469387755102048</v>
      </c>
      <c r="I25"/>
      <c r="J25"/>
      <c r="K25" s="101"/>
      <c r="L25" s="101"/>
      <c r="M25" s="91"/>
      <c r="N25" s="95"/>
      <c r="O25" s="95"/>
      <c r="P25" s="95"/>
      <c r="Q25" s="95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</row>
    <row r="26" spans="1:202" s="30" customFormat="1">
      <c r="A26" s="251" t="s">
        <v>26</v>
      </c>
      <c r="B26" s="252"/>
      <c r="C26" s="253" t="s">
        <v>27</v>
      </c>
      <c r="D26" s="272"/>
      <c r="E26" s="289">
        <f t="shared" si="0"/>
        <v>80.714285714285722</v>
      </c>
      <c r="F26" s="290">
        <v>70.930000000000007</v>
      </c>
      <c r="G26" s="81"/>
      <c r="H26" s="130">
        <v>80.714285714285722</v>
      </c>
      <c r="I26"/>
      <c r="J26"/>
      <c r="K26" s="101"/>
      <c r="L26" s="101"/>
      <c r="M26" s="91"/>
      <c r="N26" s="95"/>
      <c r="O26" s="95"/>
      <c r="P26" s="95"/>
      <c r="Q26" s="95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</row>
    <row r="27" spans="1:202" s="30" customFormat="1">
      <c r="A27" s="251" t="s">
        <v>28</v>
      </c>
      <c r="B27" s="252"/>
      <c r="C27" s="253" t="s">
        <v>29</v>
      </c>
      <c r="D27" s="272"/>
      <c r="E27" s="289">
        <f t="shared" si="0"/>
        <v>80.714285714285722</v>
      </c>
      <c r="F27" s="290">
        <v>70.930000000000007</v>
      </c>
      <c r="G27" s="81"/>
      <c r="H27" s="130">
        <v>80.714285714285722</v>
      </c>
      <c r="I27"/>
      <c r="J27"/>
      <c r="K27" s="101"/>
      <c r="L27" s="101"/>
      <c r="M27" s="91"/>
      <c r="N27" s="95"/>
      <c r="O27" s="95"/>
      <c r="P27" s="95"/>
      <c r="Q27" s="95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</row>
    <row r="28" spans="1:202" ht="15.75" customHeight="1">
      <c r="A28" s="251" t="s">
        <v>30</v>
      </c>
      <c r="B28" s="252"/>
      <c r="C28" s="253" t="s">
        <v>31</v>
      </c>
      <c r="D28" s="272"/>
      <c r="E28" s="289">
        <f t="shared" si="0"/>
        <v>80.714285714285722</v>
      </c>
      <c r="F28" s="290">
        <v>70.930000000000007</v>
      </c>
      <c r="G28" s="81"/>
      <c r="H28" s="130">
        <v>80.714285714285722</v>
      </c>
      <c r="I28"/>
      <c r="J28"/>
      <c r="K28" s="101"/>
      <c r="L28" s="101"/>
      <c r="M28" s="91"/>
      <c r="N28" s="95"/>
      <c r="O28" s="95"/>
      <c r="P28" s="95"/>
      <c r="Q28" s="95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</row>
    <row r="29" spans="1:202">
      <c r="A29" s="251" t="s">
        <v>32</v>
      </c>
      <c r="B29" s="252"/>
      <c r="C29" s="253" t="s">
        <v>33</v>
      </c>
      <c r="D29" s="272"/>
      <c r="E29" s="289">
        <f t="shared" si="0"/>
        <v>83.061224489795919</v>
      </c>
      <c r="F29" s="290">
        <v>70.930000000000007</v>
      </c>
      <c r="G29" s="81"/>
      <c r="H29" s="130">
        <v>83.061224489795919</v>
      </c>
      <c r="I29"/>
      <c r="J29"/>
      <c r="K29" s="101"/>
      <c r="L29" s="101"/>
      <c r="M29" s="91"/>
      <c r="N29" s="95"/>
      <c r="O29" s="95"/>
      <c r="P29" s="95"/>
      <c r="Q29" s="95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</row>
    <row r="30" spans="1:202">
      <c r="A30" s="251" t="s">
        <v>34</v>
      </c>
      <c r="B30" s="252"/>
      <c r="C30" s="253" t="s">
        <v>35</v>
      </c>
      <c r="D30" s="272"/>
      <c r="E30" s="289">
        <f t="shared" si="0"/>
        <v>86.377551020408177</v>
      </c>
      <c r="F30" s="290">
        <v>70.930000000000007</v>
      </c>
      <c r="G30" s="81"/>
      <c r="H30" s="131">
        <v>86.377551020408177</v>
      </c>
      <c r="I30"/>
      <c r="J30"/>
      <c r="K30" s="101"/>
      <c r="L30" s="101"/>
      <c r="N30" s="95"/>
      <c r="O30" s="95"/>
      <c r="P30" s="95"/>
      <c r="Q30" s="95"/>
    </row>
    <row r="31" spans="1:202" ht="16.149999999999999" customHeight="1">
      <c r="A31" s="251" t="s">
        <v>36</v>
      </c>
      <c r="B31" s="252"/>
      <c r="C31" s="253" t="s">
        <v>37</v>
      </c>
      <c r="D31" s="272"/>
      <c r="E31" s="289">
        <f t="shared" si="0"/>
        <v>86.377551020408177</v>
      </c>
      <c r="F31" s="290">
        <v>70.930000000000007</v>
      </c>
      <c r="G31" s="81"/>
      <c r="H31" s="131">
        <v>86.377551020408177</v>
      </c>
      <c r="I31"/>
      <c r="J31"/>
      <c r="K31" s="101"/>
      <c r="L31" s="101"/>
      <c r="N31" s="95"/>
      <c r="O31" s="95"/>
      <c r="P31" s="95"/>
      <c r="Q31" s="95"/>
    </row>
    <row r="32" spans="1:202" ht="16.149999999999999" customHeight="1">
      <c r="A32" s="254" t="s">
        <v>38</v>
      </c>
      <c r="B32" s="255"/>
      <c r="C32" s="255"/>
      <c r="D32" s="281"/>
      <c r="E32" s="267">
        <f t="shared" ref="E32:E33" si="1">H32</f>
        <v>35.700000000000003</v>
      </c>
      <c r="F32" s="268">
        <v>70.930000000000007</v>
      </c>
      <c r="G32" s="81"/>
      <c r="H32" s="131">
        <v>35.700000000000003</v>
      </c>
      <c r="I32"/>
      <c r="J32"/>
      <c r="K32" s="101"/>
      <c r="L32" s="101"/>
      <c r="N32" s="95"/>
      <c r="O32" s="95"/>
      <c r="P32" s="95"/>
      <c r="Q32" s="95"/>
    </row>
    <row r="33" spans="1:17" ht="16.149999999999999" customHeight="1" thickBot="1">
      <c r="A33" s="249" t="s">
        <v>39</v>
      </c>
      <c r="B33" s="250"/>
      <c r="C33" s="250"/>
      <c r="D33" s="282"/>
      <c r="E33" s="287">
        <f t="shared" si="1"/>
        <v>97.350000000000009</v>
      </c>
      <c r="F33" s="288">
        <v>70.930000000000007</v>
      </c>
      <c r="G33" s="81"/>
      <c r="H33" s="131">
        <v>97.350000000000009</v>
      </c>
      <c r="I33"/>
      <c r="J33"/>
      <c r="K33" s="101"/>
      <c r="L33" s="101"/>
      <c r="N33" s="95"/>
      <c r="O33" s="95"/>
      <c r="P33" s="95"/>
      <c r="Q33" s="95"/>
    </row>
    <row r="34" spans="1:17" ht="30" customHeight="1" thickBot="1">
      <c r="A34" s="256" t="s">
        <v>54</v>
      </c>
      <c r="B34" s="256"/>
      <c r="C34" s="256"/>
      <c r="D34" s="256"/>
      <c r="E34" s="256"/>
      <c r="F34" s="256"/>
      <c r="G34" s="256"/>
      <c r="H34" s="143"/>
      <c r="I34"/>
      <c r="J34"/>
      <c r="K34" s="101"/>
      <c r="L34" s="101"/>
      <c r="M34" s="92"/>
      <c r="N34" s="95"/>
      <c r="O34" s="95"/>
      <c r="P34" s="95"/>
      <c r="Q34" s="95"/>
    </row>
    <row r="35" spans="1:17" ht="16.149999999999999" customHeight="1">
      <c r="A35" s="317" t="s">
        <v>18</v>
      </c>
      <c r="B35" s="318"/>
      <c r="C35" s="319" t="s">
        <v>19</v>
      </c>
      <c r="D35" s="319"/>
      <c r="E35" s="294">
        <f t="shared" ref="E35:E46" si="2">H35</f>
        <v>94.795918367346943</v>
      </c>
      <c r="F35" s="295">
        <v>70.930000000000007</v>
      </c>
      <c r="G35" s="81"/>
      <c r="H35" s="131">
        <v>94.795918367346943</v>
      </c>
      <c r="I35"/>
      <c r="J35"/>
      <c r="K35" s="101"/>
      <c r="L35" s="101"/>
      <c r="N35" s="95"/>
      <c r="O35" s="95"/>
      <c r="P35" s="95"/>
      <c r="Q35" s="95"/>
    </row>
    <row r="36" spans="1:17" ht="16.149999999999999" customHeight="1">
      <c r="A36" s="320" t="s">
        <v>20</v>
      </c>
      <c r="B36" s="278"/>
      <c r="C36" s="279" t="s">
        <v>21</v>
      </c>
      <c r="D36" s="280"/>
      <c r="E36" s="289">
        <f t="shared" si="2"/>
        <v>94.795918367346943</v>
      </c>
      <c r="F36" s="290">
        <v>70.930000000000007</v>
      </c>
      <c r="G36" s="81"/>
      <c r="H36" s="131">
        <v>94.795918367346943</v>
      </c>
      <c r="I36"/>
      <c r="J36"/>
      <c r="K36" s="101"/>
      <c r="L36" s="101"/>
      <c r="N36" s="95"/>
      <c r="O36" s="95"/>
      <c r="P36" s="95"/>
      <c r="Q36" s="95"/>
    </row>
    <row r="37" spans="1:17" ht="16.149999999999999" customHeight="1">
      <c r="A37" s="320" t="s">
        <v>22</v>
      </c>
      <c r="B37" s="278"/>
      <c r="C37" s="279" t="s">
        <v>23</v>
      </c>
      <c r="D37" s="280"/>
      <c r="E37" s="289">
        <f t="shared" si="2"/>
        <v>94.795918367346943</v>
      </c>
      <c r="F37" s="290">
        <v>70.930000000000007</v>
      </c>
      <c r="G37" s="81"/>
      <c r="H37" s="131">
        <v>94.795918367346943</v>
      </c>
      <c r="I37"/>
      <c r="J37"/>
      <c r="K37" s="101"/>
      <c r="L37" s="101"/>
      <c r="N37" s="95"/>
      <c r="O37" s="95"/>
      <c r="P37" s="95"/>
      <c r="Q37" s="95"/>
    </row>
    <row r="38" spans="1:17" ht="16.149999999999999" customHeight="1">
      <c r="A38" s="320" t="s">
        <v>24</v>
      </c>
      <c r="B38" s="278"/>
      <c r="C38" s="279" t="s">
        <v>25</v>
      </c>
      <c r="D38" s="280"/>
      <c r="E38" s="289">
        <f t="shared" si="2"/>
        <v>94.795918367346943</v>
      </c>
      <c r="F38" s="290">
        <v>70.930000000000007</v>
      </c>
      <c r="G38" s="81"/>
      <c r="H38" s="131">
        <v>94.795918367346943</v>
      </c>
      <c r="I38"/>
      <c r="J38"/>
      <c r="K38" s="101"/>
      <c r="L38" s="101"/>
      <c r="N38" s="95"/>
      <c r="O38" s="95"/>
      <c r="P38" s="95"/>
      <c r="Q38" s="95"/>
    </row>
    <row r="39" spans="1:17" ht="16.149999999999999" customHeight="1">
      <c r="A39" s="320" t="s">
        <v>26</v>
      </c>
      <c r="B39" s="278"/>
      <c r="C39" s="279" t="s">
        <v>27</v>
      </c>
      <c r="D39" s="280"/>
      <c r="E39" s="289">
        <f t="shared" si="2"/>
        <v>102.55102040816328</v>
      </c>
      <c r="F39" s="290">
        <v>70.930000000000007</v>
      </c>
      <c r="G39" s="81"/>
      <c r="H39" s="131">
        <v>102.55102040816328</v>
      </c>
      <c r="I39"/>
      <c r="J39"/>
      <c r="K39" s="101"/>
      <c r="L39" s="101"/>
      <c r="N39" s="95"/>
      <c r="O39" s="95"/>
      <c r="P39" s="95"/>
      <c r="Q39" s="95"/>
    </row>
    <row r="40" spans="1:17" ht="16.149999999999999" customHeight="1">
      <c r="A40" s="320" t="s">
        <v>28</v>
      </c>
      <c r="B40" s="278"/>
      <c r="C40" s="279" t="s">
        <v>29</v>
      </c>
      <c r="D40" s="280"/>
      <c r="E40" s="289">
        <f t="shared" si="2"/>
        <v>102.55102040816328</v>
      </c>
      <c r="F40" s="290">
        <v>70.930000000000007</v>
      </c>
      <c r="G40" s="81"/>
      <c r="H40" s="131">
        <v>102.55102040816328</v>
      </c>
      <c r="I40"/>
      <c r="J40"/>
      <c r="K40" s="101"/>
      <c r="L40" s="101"/>
      <c r="N40" s="95"/>
      <c r="O40" s="95"/>
      <c r="P40" s="95"/>
      <c r="Q40" s="95"/>
    </row>
    <row r="41" spans="1:17" ht="16.149999999999999" customHeight="1">
      <c r="A41" s="320" t="s">
        <v>30</v>
      </c>
      <c r="B41" s="278"/>
      <c r="C41" s="279" t="s">
        <v>31</v>
      </c>
      <c r="D41" s="280"/>
      <c r="E41" s="289">
        <f t="shared" si="2"/>
        <v>102.55102040816328</v>
      </c>
      <c r="F41" s="290">
        <v>70.930000000000007</v>
      </c>
      <c r="G41" s="81"/>
      <c r="H41" s="131">
        <v>102.55102040816328</v>
      </c>
      <c r="I41"/>
      <c r="J41"/>
      <c r="K41" s="101"/>
      <c r="L41" s="101"/>
      <c r="N41" s="95"/>
      <c r="O41" s="95"/>
      <c r="P41" s="95"/>
      <c r="Q41" s="95"/>
    </row>
    <row r="42" spans="1:17" ht="16.149999999999999" customHeight="1">
      <c r="A42" s="320" t="s">
        <v>32</v>
      </c>
      <c r="B42" s="278"/>
      <c r="C42" s="279" t="s">
        <v>33</v>
      </c>
      <c r="D42" s="280"/>
      <c r="E42" s="289">
        <f t="shared" si="2"/>
        <v>107.50000000000001</v>
      </c>
      <c r="F42" s="290">
        <v>70.930000000000007</v>
      </c>
      <c r="G42" s="81"/>
      <c r="H42" s="131">
        <v>107.50000000000001</v>
      </c>
      <c r="I42"/>
      <c r="J42"/>
      <c r="K42" s="101"/>
      <c r="L42" s="101"/>
      <c r="N42" s="95"/>
      <c r="O42" s="95"/>
      <c r="P42" s="95"/>
      <c r="Q42" s="95"/>
    </row>
    <row r="43" spans="1:17" ht="16.149999999999999" customHeight="1">
      <c r="A43" s="320" t="s">
        <v>34</v>
      </c>
      <c r="B43" s="278"/>
      <c r="C43" s="279" t="s">
        <v>35</v>
      </c>
      <c r="D43" s="280"/>
      <c r="E43" s="289">
        <f t="shared" si="2"/>
        <v>107.50000000000001</v>
      </c>
      <c r="F43" s="290">
        <v>70.930000000000007</v>
      </c>
      <c r="G43" s="81"/>
      <c r="H43" s="131">
        <v>107.50000000000001</v>
      </c>
      <c r="I43"/>
      <c r="J43"/>
      <c r="K43" s="101"/>
      <c r="L43" s="101"/>
      <c r="N43" s="95"/>
      <c r="O43" s="95"/>
      <c r="P43" s="95"/>
      <c r="Q43" s="95"/>
    </row>
    <row r="44" spans="1:17" ht="15.75" customHeight="1">
      <c r="A44" s="251" t="s">
        <v>36</v>
      </c>
      <c r="B44" s="252"/>
      <c r="C44" s="279" t="s">
        <v>37</v>
      </c>
      <c r="D44" s="279"/>
      <c r="E44" s="289">
        <f t="shared" si="2"/>
        <v>107.50000000000001</v>
      </c>
      <c r="F44" s="290">
        <v>70.930000000000007</v>
      </c>
      <c r="G44" s="81"/>
      <c r="H44" s="131">
        <v>107.50000000000001</v>
      </c>
      <c r="I44"/>
      <c r="J44"/>
      <c r="K44" s="101"/>
      <c r="L44" s="101"/>
      <c r="N44" s="95"/>
      <c r="O44" s="95"/>
      <c r="P44" s="95"/>
      <c r="Q44" s="95"/>
    </row>
    <row r="45" spans="1:17" ht="15.75" customHeight="1">
      <c r="A45" s="254" t="s">
        <v>38</v>
      </c>
      <c r="B45" s="255"/>
      <c r="C45" s="255"/>
      <c r="D45" s="281"/>
      <c r="E45" s="267">
        <f t="shared" si="2"/>
        <v>35.700000000000003</v>
      </c>
      <c r="F45" s="268">
        <v>70.930000000000007</v>
      </c>
      <c r="G45" s="81"/>
      <c r="H45" s="131">
        <v>35.700000000000003</v>
      </c>
      <c r="I45"/>
      <c r="J45"/>
    </row>
    <row r="46" spans="1:17" ht="15.75" customHeight="1" thickBot="1">
      <c r="A46" s="249" t="s">
        <v>39</v>
      </c>
      <c r="B46" s="250"/>
      <c r="C46" s="250"/>
      <c r="D46" s="282"/>
      <c r="E46" s="287">
        <f t="shared" si="2"/>
        <v>97.350000000000009</v>
      </c>
      <c r="F46" s="288">
        <v>70.930000000000007</v>
      </c>
      <c r="G46" s="81"/>
      <c r="H46" s="131">
        <v>97.350000000000009</v>
      </c>
      <c r="I46"/>
      <c r="J46"/>
    </row>
    <row r="47" spans="1:17" ht="30" customHeight="1" thickBot="1">
      <c r="A47" s="273" t="s">
        <v>55</v>
      </c>
      <c r="B47" s="273"/>
      <c r="C47" s="273"/>
      <c r="D47" s="273"/>
      <c r="E47" s="273"/>
      <c r="F47" s="273"/>
      <c r="G47" s="256"/>
      <c r="H47" s="131"/>
      <c r="I47"/>
      <c r="J47"/>
    </row>
    <row r="48" spans="1:17">
      <c r="A48" s="257" t="s">
        <v>12</v>
      </c>
      <c r="B48" s="258"/>
      <c r="C48" s="259" t="s">
        <v>13</v>
      </c>
      <c r="D48" s="274"/>
      <c r="E48" s="326">
        <f t="shared" ref="E48:E62" si="3">H48</f>
        <v>155.2040816326531</v>
      </c>
      <c r="F48" s="327">
        <v>70.930000000000007</v>
      </c>
      <c r="G48" s="83"/>
      <c r="H48" s="131">
        <v>155.2040816326531</v>
      </c>
      <c r="I48"/>
      <c r="J48"/>
    </row>
    <row r="49" spans="1:10">
      <c r="A49" s="251" t="s">
        <v>14</v>
      </c>
      <c r="B49" s="252"/>
      <c r="C49" s="253" t="s">
        <v>15</v>
      </c>
      <c r="D49" s="272"/>
      <c r="E49" s="326">
        <f t="shared" si="3"/>
        <v>155.2040816326531</v>
      </c>
      <c r="F49" s="327">
        <v>70.930000000000007</v>
      </c>
      <c r="G49" s="83"/>
      <c r="H49" s="131">
        <v>155.2040816326531</v>
      </c>
      <c r="I49"/>
      <c r="J49"/>
    </row>
    <row r="50" spans="1:10">
      <c r="A50" s="251" t="s">
        <v>16</v>
      </c>
      <c r="B50" s="252"/>
      <c r="C50" s="253" t="s">
        <v>17</v>
      </c>
      <c r="D50" s="272"/>
      <c r="E50" s="326">
        <f t="shared" si="3"/>
        <v>155.2040816326531</v>
      </c>
      <c r="F50" s="327">
        <v>70.930000000000007</v>
      </c>
      <c r="G50" s="83"/>
      <c r="H50" s="131">
        <v>155.2040816326531</v>
      </c>
      <c r="I50"/>
      <c r="J50"/>
    </row>
    <row r="51" spans="1:10">
      <c r="A51" s="251" t="s">
        <v>18</v>
      </c>
      <c r="B51" s="252"/>
      <c r="C51" s="253" t="s">
        <v>19</v>
      </c>
      <c r="D51" s="272"/>
      <c r="E51" s="326">
        <f t="shared" si="3"/>
        <v>155.2040816326531</v>
      </c>
      <c r="F51" s="327">
        <v>70.930000000000007</v>
      </c>
      <c r="G51" s="83"/>
      <c r="H51" s="131">
        <v>155.2040816326531</v>
      </c>
      <c r="I51"/>
      <c r="J51"/>
    </row>
    <row r="52" spans="1:10">
      <c r="A52" s="251" t="s">
        <v>20</v>
      </c>
      <c r="B52" s="252"/>
      <c r="C52" s="253" t="s">
        <v>21</v>
      </c>
      <c r="D52" s="272"/>
      <c r="E52" s="326">
        <f t="shared" si="3"/>
        <v>158.52040816326533</v>
      </c>
      <c r="F52" s="327">
        <v>70.930000000000007</v>
      </c>
      <c r="G52" s="83"/>
      <c r="H52" s="131">
        <v>158.52040816326533</v>
      </c>
      <c r="I52"/>
      <c r="J52"/>
    </row>
    <row r="53" spans="1:10">
      <c r="A53" s="251" t="s">
        <v>22</v>
      </c>
      <c r="B53" s="252"/>
      <c r="C53" s="253" t="s">
        <v>23</v>
      </c>
      <c r="D53" s="272"/>
      <c r="E53" s="326">
        <f t="shared" si="3"/>
        <v>158.52040816326533</v>
      </c>
      <c r="F53" s="327">
        <v>70.930000000000007</v>
      </c>
      <c r="G53" s="83"/>
      <c r="H53" s="131">
        <v>158.52040816326533</v>
      </c>
      <c r="I53"/>
      <c r="J53"/>
    </row>
    <row r="54" spans="1:10">
      <c r="A54" s="251" t="s">
        <v>24</v>
      </c>
      <c r="B54" s="252"/>
      <c r="C54" s="253" t="s">
        <v>25</v>
      </c>
      <c r="D54" s="272"/>
      <c r="E54" s="326">
        <f t="shared" si="3"/>
        <v>158.52040816326533</v>
      </c>
      <c r="F54" s="327">
        <v>70.930000000000007</v>
      </c>
      <c r="G54" s="83"/>
      <c r="H54" s="131">
        <v>158.52040816326533</v>
      </c>
      <c r="I54"/>
      <c r="J54"/>
    </row>
    <row r="55" spans="1:10">
      <c r="A55" s="251" t="s">
        <v>26</v>
      </c>
      <c r="B55" s="252"/>
      <c r="C55" s="253" t="s">
        <v>27</v>
      </c>
      <c r="D55" s="272"/>
      <c r="E55" s="326">
        <f t="shared" si="3"/>
        <v>160.765306122449</v>
      </c>
      <c r="F55" s="327">
        <v>70.930000000000007</v>
      </c>
      <c r="G55" s="83"/>
      <c r="H55" s="131">
        <v>160.765306122449</v>
      </c>
      <c r="I55"/>
      <c r="J55"/>
    </row>
    <row r="56" spans="1:10">
      <c r="A56" s="251" t="s">
        <v>28</v>
      </c>
      <c r="B56" s="252"/>
      <c r="C56" s="253" t="s">
        <v>29</v>
      </c>
      <c r="D56" s="272"/>
      <c r="E56" s="326">
        <f t="shared" si="3"/>
        <v>160.765306122449</v>
      </c>
      <c r="F56" s="327">
        <v>70.930000000000007</v>
      </c>
      <c r="G56" s="83"/>
      <c r="H56" s="131">
        <v>160.765306122449</v>
      </c>
      <c r="I56"/>
      <c r="J56"/>
    </row>
    <row r="57" spans="1:10">
      <c r="A57" s="251" t="s">
        <v>30</v>
      </c>
      <c r="B57" s="252"/>
      <c r="C57" s="253" t="s">
        <v>31</v>
      </c>
      <c r="D57" s="272"/>
      <c r="E57" s="326">
        <f t="shared" si="3"/>
        <v>160.765306122449</v>
      </c>
      <c r="F57" s="327">
        <v>70.930000000000007</v>
      </c>
      <c r="G57" s="83"/>
      <c r="H57" s="131">
        <v>160.765306122449</v>
      </c>
      <c r="I57"/>
      <c r="J57"/>
    </row>
    <row r="58" spans="1:10">
      <c r="A58" s="251" t="s">
        <v>32</v>
      </c>
      <c r="B58" s="252"/>
      <c r="C58" s="253" t="s">
        <v>33</v>
      </c>
      <c r="D58" s="272"/>
      <c r="E58" s="326">
        <f t="shared" si="3"/>
        <v>163.11224489795921</v>
      </c>
      <c r="F58" s="327">
        <v>70.930000000000007</v>
      </c>
      <c r="G58" s="83"/>
      <c r="H58" s="131">
        <v>163.11224489795921</v>
      </c>
      <c r="I58"/>
      <c r="J58"/>
    </row>
    <row r="59" spans="1:10">
      <c r="A59" s="251" t="s">
        <v>34</v>
      </c>
      <c r="B59" s="252"/>
      <c r="C59" s="253" t="s">
        <v>35</v>
      </c>
      <c r="D59" s="272"/>
      <c r="E59" s="326">
        <f t="shared" si="3"/>
        <v>166.42857142857144</v>
      </c>
      <c r="F59" s="327">
        <v>70.930000000000007</v>
      </c>
      <c r="G59" s="83"/>
      <c r="H59" s="131">
        <v>166.42857142857144</v>
      </c>
      <c r="I59"/>
      <c r="J59"/>
    </row>
    <row r="60" spans="1:10">
      <c r="A60" s="251" t="s">
        <v>36</v>
      </c>
      <c r="B60" s="252"/>
      <c r="C60" s="253" t="s">
        <v>37</v>
      </c>
      <c r="D60" s="272"/>
      <c r="E60" s="326">
        <f t="shared" si="3"/>
        <v>166.42857142857144</v>
      </c>
      <c r="F60" s="327">
        <v>70.930000000000007</v>
      </c>
      <c r="G60" s="83"/>
      <c r="H60" s="131">
        <v>166.42857142857144</v>
      </c>
      <c r="I60"/>
      <c r="J60"/>
    </row>
    <row r="61" spans="1:10">
      <c r="A61" s="254" t="s">
        <v>38</v>
      </c>
      <c r="B61" s="255"/>
      <c r="C61" s="255"/>
      <c r="D61" s="281"/>
      <c r="E61" s="267">
        <f t="shared" si="3"/>
        <v>28.099999999999994</v>
      </c>
      <c r="F61" s="268">
        <v>70.930000000000007</v>
      </c>
      <c r="G61" s="83"/>
      <c r="H61" s="131">
        <v>28.099999999999994</v>
      </c>
      <c r="I61"/>
      <c r="J61"/>
    </row>
    <row r="62" spans="1:10" ht="16" thickBot="1">
      <c r="A62" s="249" t="s">
        <v>39</v>
      </c>
      <c r="B62" s="250"/>
      <c r="C62" s="250"/>
      <c r="D62" s="282"/>
      <c r="E62" s="287">
        <f t="shared" si="3"/>
        <v>142.75</v>
      </c>
      <c r="F62" s="288">
        <v>70.930000000000007</v>
      </c>
      <c r="G62" s="83"/>
      <c r="H62" s="131">
        <v>142.75</v>
      </c>
      <c r="I62"/>
      <c r="J62"/>
    </row>
    <row r="63" spans="1:10">
      <c r="I63"/>
      <c r="J63"/>
    </row>
    <row r="64" spans="1:10">
      <c r="I64"/>
      <c r="J64"/>
    </row>
    <row r="65" spans="9:10">
      <c r="I65"/>
      <c r="J65"/>
    </row>
    <row r="66" spans="9:10">
      <c r="I66"/>
      <c r="J66"/>
    </row>
    <row r="67" spans="9:10">
      <c r="I67"/>
      <c r="J67"/>
    </row>
  </sheetData>
  <mergeCells count="129">
    <mergeCell ref="A62:D62"/>
    <mergeCell ref="E62:F62"/>
    <mergeCell ref="A60:B60"/>
    <mergeCell ref="C60:D60"/>
    <mergeCell ref="E60:F60"/>
    <mergeCell ref="A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9:B49"/>
    <mergeCell ref="C49:D49"/>
    <mergeCell ref="E49:F49"/>
    <mergeCell ref="A40:B40"/>
    <mergeCell ref="C40:D40"/>
    <mergeCell ref="A41:B41"/>
    <mergeCell ref="C41:D41"/>
    <mergeCell ref="A42:B42"/>
    <mergeCell ref="C42:D42"/>
    <mergeCell ref="A46:D46"/>
    <mergeCell ref="A47:G47"/>
    <mergeCell ref="A43:B43"/>
    <mergeCell ref="C43:D43"/>
    <mergeCell ref="A44:B44"/>
    <mergeCell ref="C44:D44"/>
    <mergeCell ref="A45:D45"/>
    <mergeCell ref="A36:B36"/>
    <mergeCell ref="C36:D36"/>
    <mergeCell ref="A37:B37"/>
    <mergeCell ref="C37:D37"/>
    <mergeCell ref="A38:B38"/>
    <mergeCell ref="C38:D38"/>
    <mergeCell ref="E37:F37"/>
    <mergeCell ref="E38:F38"/>
    <mergeCell ref="A48:B48"/>
    <mergeCell ref="C48:D48"/>
    <mergeCell ref="E48:F48"/>
    <mergeCell ref="E39:F39"/>
    <mergeCell ref="E40:F40"/>
    <mergeCell ref="E41:F41"/>
    <mergeCell ref="E42:F42"/>
    <mergeCell ref="E43:F43"/>
    <mergeCell ref="E44:F44"/>
    <mergeCell ref="E45:F45"/>
    <mergeCell ref="E46:F46"/>
    <mergeCell ref="C22:D22"/>
    <mergeCell ref="A23:B23"/>
    <mergeCell ref="C23:D23"/>
    <mergeCell ref="A24:B24"/>
    <mergeCell ref="C24:D24"/>
    <mergeCell ref="A25:B25"/>
    <mergeCell ref="C25:D25"/>
    <mergeCell ref="A39:B39"/>
    <mergeCell ref="C39:D39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D32"/>
    <mergeCell ref="A33:D33"/>
    <mergeCell ref="A34:G34"/>
    <mergeCell ref="A35:B35"/>
    <mergeCell ref="C35:D35"/>
    <mergeCell ref="A26:B26"/>
    <mergeCell ref="C26:D26"/>
    <mergeCell ref="A1:G1"/>
    <mergeCell ref="A2:G2"/>
    <mergeCell ref="A3:G3"/>
    <mergeCell ref="A6:A11"/>
    <mergeCell ref="A17:D17"/>
    <mergeCell ref="E17:F17"/>
    <mergeCell ref="A18:G18"/>
    <mergeCell ref="A19:B19"/>
    <mergeCell ref="C19:D19"/>
    <mergeCell ref="A20:B20"/>
    <mergeCell ref="C20:D20"/>
    <mergeCell ref="E19:F19"/>
    <mergeCell ref="E20:F20"/>
    <mergeCell ref="E21:F21"/>
    <mergeCell ref="E22:F22"/>
    <mergeCell ref="E23:F23"/>
    <mergeCell ref="E24:F24"/>
    <mergeCell ref="E25:F25"/>
    <mergeCell ref="E26:F26"/>
    <mergeCell ref="A21:B21"/>
    <mergeCell ref="C21:D21"/>
    <mergeCell ref="A22:B22"/>
    <mergeCell ref="E27:F27"/>
    <mergeCell ref="E28:F28"/>
    <mergeCell ref="E29:F29"/>
    <mergeCell ref="E30:F30"/>
    <mergeCell ref="E31:F31"/>
    <mergeCell ref="E32:F32"/>
    <mergeCell ref="E33:F33"/>
    <mergeCell ref="E35:F35"/>
    <mergeCell ref="E36:F36"/>
  </mergeCells>
  <printOptions horizontalCentered="1"/>
  <pageMargins left="0.196850393700787" right="0.196850393700787" top="0.39370078740157499" bottom="0.59055118110236204" header="0" footer="0.196850393700787"/>
  <pageSetup scale="67" orientation="portrait" r:id="rId1"/>
  <headerFooter alignWithMargins="0">
    <oddFooter>&amp;L&amp;P
&amp;RMay 4, 2025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DE46-61FC-4802-AF9B-BB2D41945978}">
  <sheetPr transitionEvaluation="1">
    <tabColor theme="9" tint="0.59999389629810485"/>
    <pageSetUpPr fitToPage="1"/>
  </sheetPr>
  <dimension ref="A1:GT50"/>
  <sheetViews>
    <sheetView defaultGridColor="0" view="pageBreakPreview" colorId="22" zoomScale="90" zoomScaleNormal="110" zoomScaleSheetLayoutView="90" workbookViewId="0">
      <selection activeCell="A6" sqref="A6:A11"/>
    </sheetView>
  </sheetViews>
  <sheetFormatPr defaultColWidth="9" defaultRowHeight="15.5"/>
  <cols>
    <col min="1" max="1" width="8.23046875" style="26" customWidth="1"/>
    <col min="2" max="7" width="11.84375" style="3" customWidth="1"/>
    <col min="8" max="10" width="9" style="89"/>
    <col min="11" max="11" width="17.84375" style="89" customWidth="1"/>
    <col min="12" max="13" width="9" style="89"/>
    <col min="14" max="16384" width="9" style="3"/>
  </cols>
  <sheetData>
    <row r="1" spans="1:202" ht="24" customHeight="1">
      <c r="A1" s="269" t="s">
        <v>2</v>
      </c>
      <c r="B1" s="269"/>
      <c r="C1" s="269"/>
      <c r="D1" s="269"/>
      <c r="E1" s="269"/>
      <c r="F1" s="269"/>
      <c r="G1" s="269"/>
    </row>
    <row r="2" spans="1:202" ht="21.75" customHeight="1">
      <c r="A2" s="261" t="str">
        <f>'Colonist-6 Panel'!A2</f>
        <v>NET PRICE LIST (May 4, 2025)</v>
      </c>
      <c r="B2" s="261"/>
      <c r="C2" s="261"/>
      <c r="D2" s="261"/>
      <c r="E2" s="261"/>
      <c r="F2" s="261"/>
      <c r="G2" s="261"/>
    </row>
    <row r="3" spans="1:202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</row>
    <row r="4" spans="1:202" ht="11.25" customHeight="1">
      <c r="B4" s="1"/>
      <c r="C4" s="2"/>
      <c r="D4" s="2"/>
      <c r="E4" s="2"/>
      <c r="F4" s="2"/>
      <c r="G4" s="1"/>
    </row>
    <row r="5" spans="1:202" ht="13.5" customHeight="1">
      <c r="B5" s="10"/>
      <c r="C5" s="10"/>
      <c r="D5" s="10"/>
      <c r="E5" s="10"/>
      <c r="F5" s="10"/>
      <c r="G5" s="11"/>
    </row>
    <row r="6" spans="1:202" ht="20.25" customHeight="1">
      <c r="A6" s="263" t="s">
        <v>61</v>
      </c>
      <c r="B6" s="1"/>
      <c r="C6" s="1"/>
      <c r="D6" s="1"/>
      <c r="E6" s="1"/>
      <c r="F6" s="1"/>
      <c r="G6" s="1"/>
    </row>
    <row r="7" spans="1:202" ht="20.25" customHeight="1">
      <c r="A7" s="263"/>
      <c r="B7" s="1"/>
      <c r="C7" s="1"/>
      <c r="D7" s="1"/>
      <c r="E7" s="1"/>
      <c r="F7" s="1"/>
      <c r="G7" s="1"/>
    </row>
    <row r="8" spans="1:202" ht="15.75" customHeight="1">
      <c r="A8" s="263"/>
      <c r="B8" s="1"/>
      <c r="C8" s="1"/>
      <c r="D8" s="1"/>
      <c r="E8" s="1"/>
      <c r="F8" s="1"/>
      <c r="G8" s="1"/>
    </row>
    <row r="9" spans="1:202" ht="15.75" customHeight="1">
      <c r="A9" s="263"/>
      <c r="B9" s="1"/>
      <c r="C9" s="1"/>
      <c r="D9" s="1"/>
      <c r="E9" s="1"/>
      <c r="F9" s="1"/>
      <c r="G9" s="1"/>
    </row>
    <row r="10" spans="1:202" ht="20.25" customHeight="1">
      <c r="A10" s="263"/>
      <c r="B10" s="1"/>
      <c r="C10" s="1"/>
      <c r="D10" s="1"/>
      <c r="E10" s="1"/>
      <c r="F10" s="1"/>
      <c r="G10" s="1"/>
    </row>
    <row r="11" spans="1:202" ht="20.25" customHeight="1">
      <c r="A11" s="263"/>
      <c r="B11" s="1"/>
      <c r="C11" s="1"/>
      <c r="D11" s="1"/>
      <c r="E11" s="1"/>
      <c r="F11" s="1"/>
      <c r="G11" s="1"/>
    </row>
    <row r="12" spans="1:202" ht="9" customHeight="1" thickBot="1">
      <c r="B12" s="4"/>
      <c r="C12" s="5"/>
      <c r="D12" s="5"/>
      <c r="E12" s="5"/>
      <c r="F12" s="5"/>
      <c r="G12" s="6"/>
    </row>
    <row r="13" spans="1:202" ht="38.25" customHeight="1" thickTop="1" thickBot="1">
      <c r="A13" s="16"/>
      <c r="B13" s="18" t="s">
        <v>63</v>
      </c>
      <c r="C13" s="15" t="s">
        <v>64</v>
      </c>
      <c r="D13" s="15" t="s">
        <v>65</v>
      </c>
      <c r="E13" s="15" t="s">
        <v>66</v>
      </c>
      <c r="G13" s="32"/>
      <c r="H13" s="91"/>
      <c r="I13" s="91" t="s">
        <v>139</v>
      </c>
      <c r="J13" s="91" t="s">
        <v>140</v>
      </c>
      <c r="K13" s="233" t="s">
        <v>143</v>
      </c>
      <c r="L13" s="91"/>
      <c r="M13" s="9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</row>
    <row r="14" spans="1:202" ht="16.5" thickTop="1" thickBot="1">
      <c r="A14" s="21" t="s">
        <v>6</v>
      </c>
      <c r="B14" s="19" t="s">
        <v>49</v>
      </c>
      <c r="C14" s="19" t="s">
        <v>7</v>
      </c>
      <c r="D14" s="19" t="s">
        <v>7</v>
      </c>
      <c r="E14" s="19" t="s">
        <v>7</v>
      </c>
      <c r="G14" s="34"/>
      <c r="H14" s="91" t="s">
        <v>141</v>
      </c>
      <c r="I14" s="91">
        <v>62</v>
      </c>
      <c r="J14" s="232">
        <v>0.06</v>
      </c>
      <c r="K14" s="91">
        <f>ROUNDUP(I14*(1+J14),0)</f>
        <v>66</v>
      </c>
      <c r="L14" s="91"/>
      <c r="M14" s="9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</row>
    <row r="15" spans="1:202" ht="16.5" thickTop="1" thickBot="1">
      <c r="A15" s="21" t="s">
        <v>8</v>
      </c>
      <c r="B15" s="19" t="s">
        <v>49</v>
      </c>
      <c r="C15" s="19" t="s">
        <v>49</v>
      </c>
      <c r="D15" s="19" t="s">
        <v>49</v>
      </c>
      <c r="E15" s="19" t="s">
        <v>49</v>
      </c>
      <c r="G15" s="13"/>
      <c r="H15" s="91" t="s">
        <v>142</v>
      </c>
      <c r="I15" s="91">
        <v>75</v>
      </c>
      <c r="J15" s="232">
        <v>0.06</v>
      </c>
      <c r="K15" s="91">
        <f>ROUNDUP(I15*(1+J15),0)</f>
        <v>80</v>
      </c>
      <c r="L15" s="91"/>
      <c r="M15" s="9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</row>
    <row r="16" spans="1:202" ht="16.5" customHeight="1" thickTop="1" thickBot="1">
      <c r="A16" s="7"/>
      <c r="B16" s="9"/>
      <c r="C16" s="9"/>
      <c r="D16" s="10"/>
      <c r="E16" s="9"/>
      <c r="F16" s="9"/>
      <c r="G16" s="9"/>
      <c r="H16" s="91"/>
      <c r="I16" s="91"/>
      <c r="J16" s="91"/>
      <c r="K16" s="91"/>
      <c r="L16" s="91"/>
      <c r="M16" s="9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</row>
    <row r="17" spans="1:202" ht="36" customHeight="1" thickTop="1" thickBot="1">
      <c r="A17" s="264" t="s">
        <v>9</v>
      </c>
      <c r="B17" s="265"/>
      <c r="C17" s="265"/>
      <c r="D17" s="266"/>
      <c r="E17" s="270" t="str">
        <f>'Colonist-6 Panel'!E16</f>
        <v>Net Price</v>
      </c>
      <c r="F17" s="271"/>
      <c r="G17" s="125"/>
      <c r="H17" s="130"/>
      <c r="I17" s="91"/>
      <c r="J17" s="91"/>
      <c r="K17" s="91"/>
      <c r="L17" s="91"/>
      <c r="M17" s="9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</row>
    <row r="18" spans="1:202" ht="30" customHeight="1" thickTop="1" thickBot="1">
      <c r="A18" s="273" t="s">
        <v>57</v>
      </c>
      <c r="B18" s="273"/>
      <c r="C18" s="273"/>
      <c r="D18" s="273"/>
      <c r="E18" s="273"/>
      <c r="F18" s="273"/>
      <c r="G18" s="256"/>
      <c r="H18" s="234" t="s">
        <v>6</v>
      </c>
      <c r="I18" s="234" t="s">
        <v>138</v>
      </c>
      <c r="J18" s="234" t="s">
        <v>144</v>
      </c>
      <c r="K18" s="91"/>
      <c r="L18" s="91"/>
      <c r="M18" s="9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</row>
    <row r="19" spans="1:202">
      <c r="A19" s="257" t="s">
        <v>12</v>
      </c>
      <c r="B19" s="258"/>
      <c r="C19" s="259" t="s">
        <v>13</v>
      </c>
      <c r="D19" s="274"/>
      <c r="E19" s="275">
        <f t="shared" ref="E19:E31" si="0">J19</f>
        <v>141.15306122448982</v>
      </c>
      <c r="F19" s="276"/>
      <c r="G19" s="83"/>
      <c r="H19" s="230">
        <f>'Flat Panel (Elite)'!H19</f>
        <v>75.153061224489804</v>
      </c>
      <c r="I19" s="91">
        <v>66</v>
      </c>
      <c r="J19" s="147">
        <f>H19+I19</f>
        <v>141.15306122448982</v>
      </c>
      <c r="K19" s="101"/>
      <c r="L19" s="101"/>
      <c r="M19" s="91"/>
      <c r="N19" s="95"/>
      <c r="O19" s="95"/>
      <c r="P19" s="95"/>
      <c r="Q19" s="95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</row>
    <row r="20" spans="1:202">
      <c r="A20" s="251" t="s">
        <v>14</v>
      </c>
      <c r="B20" s="252"/>
      <c r="C20" s="253" t="s">
        <v>15</v>
      </c>
      <c r="D20" s="272"/>
      <c r="E20" s="267">
        <f t="shared" si="0"/>
        <v>141.15306122448982</v>
      </c>
      <c r="F20" s="268"/>
      <c r="G20" s="83"/>
      <c r="H20" s="230">
        <f>'Flat Panel (Elite)'!H20</f>
        <v>75.153061224489804</v>
      </c>
      <c r="I20" s="91">
        <v>66</v>
      </c>
      <c r="J20" s="147">
        <f t="shared" ref="J20:J31" si="1">H20+I20</f>
        <v>141.15306122448982</v>
      </c>
      <c r="K20" s="101"/>
      <c r="L20" s="101"/>
      <c r="M20" s="91"/>
      <c r="N20" s="95"/>
      <c r="O20" s="95"/>
      <c r="P20" s="95"/>
      <c r="Q20" s="95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</row>
    <row r="21" spans="1:202">
      <c r="A21" s="251" t="s">
        <v>16</v>
      </c>
      <c r="B21" s="252"/>
      <c r="C21" s="253" t="s">
        <v>17</v>
      </c>
      <c r="D21" s="272"/>
      <c r="E21" s="267">
        <f t="shared" si="0"/>
        <v>141.15306122448982</v>
      </c>
      <c r="F21" s="268"/>
      <c r="G21" s="83"/>
      <c r="H21" s="230">
        <f>'Flat Panel (Elite)'!H21</f>
        <v>75.153061224489804</v>
      </c>
      <c r="I21" s="91">
        <v>66</v>
      </c>
      <c r="J21" s="147">
        <f t="shared" si="1"/>
        <v>141.15306122448982</v>
      </c>
      <c r="K21" s="101"/>
      <c r="L21" s="101"/>
      <c r="M21" s="91"/>
      <c r="N21" s="95"/>
      <c r="O21" s="95"/>
      <c r="P21" s="95"/>
      <c r="Q21" s="95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</row>
    <row r="22" spans="1:202">
      <c r="A22" s="251" t="s">
        <v>18</v>
      </c>
      <c r="B22" s="252"/>
      <c r="C22" s="253" t="s">
        <v>19</v>
      </c>
      <c r="D22" s="272"/>
      <c r="E22" s="267">
        <f t="shared" si="0"/>
        <v>141.15306122448982</v>
      </c>
      <c r="F22" s="268"/>
      <c r="G22" s="83"/>
      <c r="H22" s="230">
        <f>'Flat Panel (Elite)'!H22</f>
        <v>75.153061224489804</v>
      </c>
      <c r="I22" s="91">
        <v>66</v>
      </c>
      <c r="J22" s="147">
        <f t="shared" si="1"/>
        <v>141.15306122448982</v>
      </c>
      <c r="K22" s="101"/>
      <c r="L22" s="101"/>
      <c r="M22" s="91"/>
      <c r="N22" s="95"/>
      <c r="O22" s="95"/>
      <c r="P22" s="95"/>
      <c r="Q22" s="95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</row>
    <row r="23" spans="1:202">
      <c r="A23" s="251" t="s">
        <v>20</v>
      </c>
      <c r="B23" s="252"/>
      <c r="C23" s="253" t="s">
        <v>21</v>
      </c>
      <c r="D23" s="272"/>
      <c r="E23" s="267">
        <f t="shared" si="0"/>
        <v>144.46938775510205</v>
      </c>
      <c r="F23" s="268"/>
      <c r="G23" s="83"/>
      <c r="H23" s="230">
        <f>'Flat Panel (Elite)'!H23</f>
        <v>78.469387755102048</v>
      </c>
      <c r="I23" s="91">
        <v>66</v>
      </c>
      <c r="J23" s="147">
        <f t="shared" si="1"/>
        <v>144.46938775510205</v>
      </c>
      <c r="K23" s="101"/>
      <c r="L23" s="101"/>
      <c r="M23" s="91"/>
      <c r="N23" s="95"/>
      <c r="O23" s="95"/>
      <c r="P23" s="95"/>
      <c r="Q23" s="95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</row>
    <row r="24" spans="1:202">
      <c r="A24" s="251" t="s">
        <v>22</v>
      </c>
      <c r="B24" s="252"/>
      <c r="C24" s="253" t="s">
        <v>23</v>
      </c>
      <c r="D24" s="272"/>
      <c r="E24" s="267">
        <f t="shared" si="0"/>
        <v>144.46938775510205</v>
      </c>
      <c r="F24" s="268"/>
      <c r="G24" s="83"/>
      <c r="H24" s="230">
        <f>'Flat Panel (Elite)'!H24</f>
        <v>78.469387755102048</v>
      </c>
      <c r="I24" s="91">
        <v>66</v>
      </c>
      <c r="J24" s="147">
        <f t="shared" si="1"/>
        <v>144.46938775510205</v>
      </c>
      <c r="K24" s="101"/>
      <c r="L24" s="101"/>
      <c r="M24" s="91"/>
      <c r="N24" s="95"/>
      <c r="O24" s="95"/>
      <c r="P24" s="95"/>
      <c r="Q24" s="95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</row>
    <row r="25" spans="1:202">
      <c r="A25" s="251" t="s">
        <v>24</v>
      </c>
      <c r="B25" s="252"/>
      <c r="C25" s="253" t="s">
        <v>25</v>
      </c>
      <c r="D25" s="272"/>
      <c r="E25" s="267">
        <f t="shared" si="0"/>
        <v>144.46938775510205</v>
      </c>
      <c r="F25" s="268"/>
      <c r="G25" s="83"/>
      <c r="H25" s="230">
        <f>'Flat Panel (Elite)'!H25</f>
        <v>78.469387755102048</v>
      </c>
      <c r="I25" s="91">
        <v>66</v>
      </c>
      <c r="J25" s="147">
        <f t="shared" si="1"/>
        <v>144.46938775510205</v>
      </c>
      <c r="K25" s="101"/>
      <c r="L25" s="101"/>
      <c r="M25" s="91"/>
      <c r="N25" s="95"/>
      <c r="O25" s="95"/>
      <c r="P25" s="95"/>
      <c r="Q25" s="95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</row>
    <row r="26" spans="1:202" s="30" customFormat="1">
      <c r="A26" s="251" t="s">
        <v>26</v>
      </c>
      <c r="B26" s="252"/>
      <c r="C26" s="253" t="s">
        <v>27</v>
      </c>
      <c r="D26" s="272"/>
      <c r="E26" s="267">
        <f t="shared" si="0"/>
        <v>146.71428571428572</v>
      </c>
      <c r="F26" s="268"/>
      <c r="G26" s="83"/>
      <c r="H26" s="230">
        <f>'Flat Panel (Elite)'!H26</f>
        <v>80.714285714285722</v>
      </c>
      <c r="I26" s="91">
        <v>66</v>
      </c>
      <c r="J26" s="147">
        <f t="shared" si="1"/>
        <v>146.71428571428572</v>
      </c>
      <c r="K26" s="101"/>
      <c r="L26" s="101"/>
      <c r="M26" s="91"/>
      <c r="N26" s="95"/>
      <c r="O26" s="95"/>
      <c r="P26" s="95"/>
      <c r="Q26" s="95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</row>
    <row r="27" spans="1:202" s="30" customFormat="1">
      <c r="A27" s="251" t="s">
        <v>28</v>
      </c>
      <c r="B27" s="252"/>
      <c r="C27" s="253" t="s">
        <v>29</v>
      </c>
      <c r="D27" s="272"/>
      <c r="E27" s="267">
        <f t="shared" si="0"/>
        <v>146.71428571428572</v>
      </c>
      <c r="F27" s="268"/>
      <c r="G27" s="83"/>
      <c r="H27" s="230">
        <f>'Flat Panel (Elite)'!H27</f>
        <v>80.714285714285722</v>
      </c>
      <c r="I27" s="91">
        <v>66</v>
      </c>
      <c r="J27" s="147">
        <f t="shared" si="1"/>
        <v>146.71428571428572</v>
      </c>
      <c r="K27" s="101"/>
      <c r="L27" s="101"/>
      <c r="M27" s="91"/>
      <c r="N27" s="95"/>
      <c r="O27" s="95"/>
      <c r="P27" s="95"/>
      <c r="Q27" s="95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</row>
    <row r="28" spans="1:202" ht="15.75" customHeight="1">
      <c r="A28" s="251" t="s">
        <v>30</v>
      </c>
      <c r="B28" s="252"/>
      <c r="C28" s="253" t="s">
        <v>31</v>
      </c>
      <c r="D28" s="272"/>
      <c r="E28" s="267">
        <f t="shared" si="0"/>
        <v>146.71428571428572</v>
      </c>
      <c r="F28" s="268"/>
      <c r="G28" s="83"/>
      <c r="H28" s="230">
        <f>'Flat Panel (Elite)'!H28</f>
        <v>80.714285714285722</v>
      </c>
      <c r="I28" s="91">
        <v>66</v>
      </c>
      <c r="J28" s="147">
        <f t="shared" si="1"/>
        <v>146.71428571428572</v>
      </c>
      <c r="K28" s="101"/>
      <c r="L28" s="101"/>
      <c r="M28" s="91"/>
      <c r="N28" s="95"/>
      <c r="O28" s="95"/>
      <c r="P28" s="95"/>
      <c r="Q28" s="95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</row>
    <row r="29" spans="1:202">
      <c r="A29" s="251" t="s">
        <v>32</v>
      </c>
      <c r="B29" s="252"/>
      <c r="C29" s="253" t="s">
        <v>33</v>
      </c>
      <c r="D29" s="272"/>
      <c r="E29" s="267">
        <f t="shared" si="0"/>
        <v>149.0612244897959</v>
      </c>
      <c r="F29" s="268"/>
      <c r="G29" s="83"/>
      <c r="H29" s="230">
        <f>'Flat Panel (Elite)'!H29</f>
        <v>83.061224489795919</v>
      </c>
      <c r="I29" s="91">
        <v>66</v>
      </c>
      <c r="J29" s="147">
        <f t="shared" si="1"/>
        <v>149.0612244897959</v>
      </c>
      <c r="K29" s="101"/>
      <c r="L29" s="101"/>
      <c r="M29" s="91"/>
      <c r="N29" s="95"/>
      <c r="O29" s="95"/>
      <c r="P29" s="95"/>
      <c r="Q29" s="95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</row>
    <row r="30" spans="1:202">
      <c r="A30" s="251" t="s">
        <v>34</v>
      </c>
      <c r="B30" s="252"/>
      <c r="C30" s="253" t="s">
        <v>35</v>
      </c>
      <c r="D30" s="272"/>
      <c r="E30" s="267">
        <f t="shared" si="0"/>
        <v>152.37755102040819</v>
      </c>
      <c r="F30" s="268"/>
      <c r="G30" s="83"/>
      <c r="H30" s="230">
        <f>'Flat Panel (Elite)'!H30</f>
        <v>86.377551020408177</v>
      </c>
      <c r="I30" s="91">
        <v>66</v>
      </c>
      <c r="J30" s="147">
        <f t="shared" si="1"/>
        <v>152.37755102040819</v>
      </c>
      <c r="K30" s="101"/>
      <c r="L30" s="101"/>
      <c r="N30" s="95"/>
      <c r="O30" s="95"/>
      <c r="P30" s="95"/>
      <c r="Q30" s="95"/>
    </row>
    <row r="31" spans="1:202" ht="16.149999999999999" customHeight="1">
      <c r="A31" s="251" t="s">
        <v>36</v>
      </c>
      <c r="B31" s="252"/>
      <c r="C31" s="253" t="s">
        <v>37</v>
      </c>
      <c r="D31" s="272"/>
      <c r="E31" s="267">
        <f t="shared" si="0"/>
        <v>152.37755102040819</v>
      </c>
      <c r="F31" s="268"/>
      <c r="G31" s="83"/>
      <c r="H31" s="230">
        <f>'Flat Panel (Elite)'!H31</f>
        <v>86.377551020408177</v>
      </c>
      <c r="I31" s="91">
        <v>66</v>
      </c>
      <c r="J31" s="147">
        <f t="shared" si="1"/>
        <v>152.37755102040819</v>
      </c>
      <c r="K31" s="101"/>
      <c r="L31" s="101"/>
      <c r="N31" s="95"/>
      <c r="O31" s="95"/>
      <c r="P31" s="95"/>
      <c r="Q31" s="95"/>
    </row>
    <row r="32" spans="1:202" ht="16.149999999999999" customHeight="1">
      <c r="A32" s="254" t="s">
        <v>38</v>
      </c>
      <c r="B32" s="255"/>
      <c r="C32" s="255"/>
      <c r="D32" s="281"/>
      <c r="E32" s="267">
        <f>J32</f>
        <v>35.700000000000003</v>
      </c>
      <c r="F32" s="268"/>
      <c r="G32" s="83"/>
      <c r="H32"/>
      <c r="I32" s="91"/>
      <c r="J32" s="147">
        <v>35.700000000000003</v>
      </c>
      <c r="K32" s="101"/>
      <c r="L32" s="101"/>
      <c r="N32" s="95"/>
      <c r="O32" s="95"/>
      <c r="P32" s="95"/>
      <c r="Q32" s="95"/>
    </row>
    <row r="33" spans="1:17" ht="16.149999999999999" customHeight="1" thickBot="1">
      <c r="A33" s="249" t="s">
        <v>39</v>
      </c>
      <c r="B33" s="250"/>
      <c r="C33" s="250"/>
      <c r="D33" s="282"/>
      <c r="E33" s="287">
        <f>J33</f>
        <v>97.350000000000009</v>
      </c>
      <c r="F33" s="288"/>
      <c r="G33" s="83"/>
      <c r="H33" s="143"/>
      <c r="I33" s="91"/>
      <c r="J33" s="147">
        <v>97.350000000000009</v>
      </c>
      <c r="K33" s="101"/>
      <c r="L33" s="101"/>
      <c r="N33" s="95"/>
      <c r="O33" s="95"/>
      <c r="P33" s="95"/>
      <c r="Q33" s="95"/>
    </row>
    <row r="34" spans="1:17" ht="30.75" customHeight="1" thickBot="1">
      <c r="A34" s="273" t="s">
        <v>58</v>
      </c>
      <c r="B34" s="273"/>
      <c r="C34" s="273"/>
      <c r="D34" s="273"/>
      <c r="E34" s="273"/>
      <c r="F34" s="273"/>
      <c r="G34" s="256"/>
      <c r="H34" s="143"/>
      <c r="I34" s="91"/>
      <c r="J34" s="101"/>
      <c r="K34" s="101"/>
      <c r="L34" s="101"/>
      <c r="N34" s="95"/>
      <c r="O34" s="95"/>
      <c r="P34" s="95"/>
      <c r="Q34" s="95"/>
    </row>
    <row r="35" spans="1:17" ht="15" customHeight="1">
      <c r="A35" s="257" t="s">
        <v>12</v>
      </c>
      <c r="B35" s="258"/>
      <c r="C35" s="259" t="s">
        <v>13</v>
      </c>
      <c r="D35" s="274"/>
      <c r="E35" s="275">
        <f t="shared" ref="E35:E49" si="2">J35</f>
        <v>155.15306122448982</v>
      </c>
      <c r="F35" s="276"/>
      <c r="G35" s="83"/>
      <c r="H35" s="230">
        <f>H19</f>
        <v>75.153061224489804</v>
      </c>
      <c r="I35" s="91">
        <v>80</v>
      </c>
      <c r="J35" s="147">
        <f>H35+I35</f>
        <v>155.15306122448982</v>
      </c>
      <c r="K35" s="101"/>
      <c r="L35" s="101"/>
      <c r="N35" s="95"/>
      <c r="O35" s="95"/>
      <c r="P35" s="95"/>
      <c r="Q35" s="95"/>
    </row>
    <row r="36" spans="1:17" ht="15" customHeight="1">
      <c r="A36" s="251" t="s">
        <v>14</v>
      </c>
      <c r="B36" s="252"/>
      <c r="C36" s="253" t="s">
        <v>15</v>
      </c>
      <c r="D36" s="272"/>
      <c r="E36" s="267">
        <f t="shared" si="2"/>
        <v>155.15306122448982</v>
      </c>
      <c r="F36" s="268"/>
      <c r="G36" s="83"/>
      <c r="H36" s="230">
        <f t="shared" ref="H36:H47" si="3">H20</f>
        <v>75.153061224489804</v>
      </c>
      <c r="I36" s="91">
        <v>80</v>
      </c>
      <c r="J36" s="147">
        <f t="shared" ref="J36:J47" si="4">H36+I36</f>
        <v>155.15306122448982</v>
      </c>
      <c r="K36" s="101"/>
      <c r="L36" s="101"/>
      <c r="N36" s="95"/>
      <c r="O36" s="95"/>
      <c r="P36" s="95"/>
      <c r="Q36" s="95"/>
    </row>
    <row r="37" spans="1:17" ht="15" customHeight="1">
      <c r="A37" s="251" t="s">
        <v>16</v>
      </c>
      <c r="B37" s="252"/>
      <c r="C37" s="253" t="s">
        <v>17</v>
      </c>
      <c r="D37" s="272"/>
      <c r="E37" s="267">
        <f t="shared" si="2"/>
        <v>155.15306122448982</v>
      </c>
      <c r="F37" s="268"/>
      <c r="G37" s="83"/>
      <c r="H37" s="230">
        <f t="shared" si="3"/>
        <v>75.153061224489804</v>
      </c>
      <c r="I37" s="91">
        <v>80</v>
      </c>
      <c r="J37" s="147">
        <f t="shared" si="4"/>
        <v>155.15306122448982</v>
      </c>
      <c r="K37" s="101"/>
      <c r="L37" s="101"/>
      <c r="N37" s="95"/>
      <c r="O37" s="95"/>
      <c r="P37" s="95"/>
      <c r="Q37" s="95"/>
    </row>
    <row r="38" spans="1:17" ht="15" customHeight="1">
      <c r="A38" s="251" t="s">
        <v>18</v>
      </c>
      <c r="B38" s="252"/>
      <c r="C38" s="253" t="s">
        <v>19</v>
      </c>
      <c r="D38" s="272"/>
      <c r="E38" s="267">
        <f t="shared" si="2"/>
        <v>155.15306122448982</v>
      </c>
      <c r="F38" s="268"/>
      <c r="G38" s="83"/>
      <c r="H38" s="230">
        <f t="shared" si="3"/>
        <v>75.153061224489804</v>
      </c>
      <c r="I38" s="91">
        <v>80</v>
      </c>
      <c r="J38" s="147">
        <f t="shared" si="4"/>
        <v>155.15306122448982</v>
      </c>
      <c r="K38" s="101"/>
      <c r="L38" s="101"/>
      <c r="N38" s="95"/>
      <c r="O38" s="95"/>
      <c r="P38" s="95"/>
      <c r="Q38" s="95"/>
    </row>
    <row r="39" spans="1:17" ht="15" customHeight="1">
      <c r="A39" s="251" t="s">
        <v>20</v>
      </c>
      <c r="B39" s="252"/>
      <c r="C39" s="253" t="s">
        <v>21</v>
      </c>
      <c r="D39" s="272"/>
      <c r="E39" s="267">
        <f t="shared" si="2"/>
        <v>158.46938775510205</v>
      </c>
      <c r="F39" s="268"/>
      <c r="G39" s="83"/>
      <c r="H39" s="230">
        <f t="shared" si="3"/>
        <v>78.469387755102048</v>
      </c>
      <c r="I39" s="91">
        <v>80</v>
      </c>
      <c r="J39" s="147">
        <f t="shared" si="4"/>
        <v>158.46938775510205</v>
      </c>
      <c r="K39" s="101"/>
      <c r="L39" s="101"/>
      <c r="N39" s="95"/>
      <c r="O39" s="95"/>
      <c r="P39" s="95"/>
      <c r="Q39" s="95"/>
    </row>
    <row r="40" spans="1:17" ht="15" customHeight="1">
      <c r="A40" s="251" t="s">
        <v>22</v>
      </c>
      <c r="B40" s="252"/>
      <c r="C40" s="253" t="s">
        <v>23</v>
      </c>
      <c r="D40" s="272"/>
      <c r="E40" s="267">
        <f t="shared" si="2"/>
        <v>158.46938775510205</v>
      </c>
      <c r="F40" s="268"/>
      <c r="G40" s="83"/>
      <c r="H40" s="230">
        <f t="shared" si="3"/>
        <v>78.469387755102048</v>
      </c>
      <c r="I40" s="91">
        <v>80</v>
      </c>
      <c r="J40" s="147">
        <f t="shared" si="4"/>
        <v>158.46938775510205</v>
      </c>
      <c r="K40" s="101"/>
      <c r="L40" s="101"/>
      <c r="N40" s="95"/>
      <c r="O40" s="95"/>
      <c r="P40" s="95"/>
      <c r="Q40" s="95"/>
    </row>
    <row r="41" spans="1:17" ht="15" customHeight="1">
      <c r="A41" s="251" t="s">
        <v>24</v>
      </c>
      <c r="B41" s="252"/>
      <c r="C41" s="253" t="s">
        <v>25</v>
      </c>
      <c r="D41" s="272"/>
      <c r="E41" s="267">
        <f t="shared" si="2"/>
        <v>158.46938775510205</v>
      </c>
      <c r="F41" s="268"/>
      <c r="G41" s="83"/>
      <c r="H41" s="230">
        <f t="shared" si="3"/>
        <v>78.469387755102048</v>
      </c>
      <c r="I41" s="91">
        <v>80</v>
      </c>
      <c r="J41" s="147">
        <f t="shared" si="4"/>
        <v>158.46938775510205</v>
      </c>
      <c r="K41" s="101"/>
      <c r="L41" s="101"/>
      <c r="N41" s="95"/>
      <c r="O41" s="95"/>
      <c r="P41" s="95"/>
      <c r="Q41" s="95"/>
    </row>
    <row r="42" spans="1:17" ht="15" customHeight="1">
      <c r="A42" s="251" t="s">
        <v>26</v>
      </c>
      <c r="B42" s="252"/>
      <c r="C42" s="253" t="s">
        <v>27</v>
      </c>
      <c r="D42" s="272"/>
      <c r="E42" s="267">
        <f t="shared" si="2"/>
        <v>160.71428571428572</v>
      </c>
      <c r="F42" s="268"/>
      <c r="G42" s="83"/>
      <c r="H42" s="230">
        <f t="shared" si="3"/>
        <v>80.714285714285722</v>
      </c>
      <c r="I42" s="91">
        <v>80</v>
      </c>
      <c r="J42" s="147">
        <f t="shared" si="4"/>
        <v>160.71428571428572</v>
      </c>
      <c r="K42" s="101"/>
      <c r="L42" s="101"/>
      <c r="N42" s="95"/>
      <c r="O42" s="95"/>
      <c r="P42" s="95"/>
      <c r="Q42" s="95"/>
    </row>
    <row r="43" spans="1:17" ht="15" customHeight="1">
      <c r="A43" s="251" t="s">
        <v>28</v>
      </c>
      <c r="B43" s="252"/>
      <c r="C43" s="253" t="s">
        <v>29</v>
      </c>
      <c r="D43" s="272"/>
      <c r="E43" s="267">
        <f t="shared" si="2"/>
        <v>160.71428571428572</v>
      </c>
      <c r="F43" s="268"/>
      <c r="G43" s="83"/>
      <c r="H43" s="230">
        <f t="shared" si="3"/>
        <v>80.714285714285722</v>
      </c>
      <c r="I43" s="91">
        <v>80</v>
      </c>
      <c r="J43" s="147">
        <f t="shared" si="4"/>
        <v>160.71428571428572</v>
      </c>
      <c r="K43" s="101"/>
      <c r="L43" s="101"/>
      <c r="N43" s="95"/>
      <c r="O43" s="95"/>
      <c r="P43" s="95"/>
      <c r="Q43" s="95"/>
    </row>
    <row r="44" spans="1:17">
      <c r="A44" s="251" t="s">
        <v>30</v>
      </c>
      <c r="B44" s="252"/>
      <c r="C44" s="253" t="s">
        <v>31</v>
      </c>
      <c r="D44" s="272"/>
      <c r="E44" s="267">
        <f t="shared" si="2"/>
        <v>160.71428571428572</v>
      </c>
      <c r="F44" s="268"/>
      <c r="G44" s="83"/>
      <c r="H44" s="230">
        <f t="shared" si="3"/>
        <v>80.714285714285722</v>
      </c>
      <c r="I44" s="91">
        <v>80</v>
      </c>
      <c r="J44" s="147">
        <f t="shared" si="4"/>
        <v>160.71428571428572</v>
      </c>
      <c r="K44" s="101"/>
      <c r="L44" s="101"/>
      <c r="N44" s="95"/>
      <c r="O44" s="95"/>
      <c r="P44" s="95"/>
      <c r="Q44" s="95"/>
    </row>
    <row r="45" spans="1:17">
      <c r="A45" s="251" t="s">
        <v>32</v>
      </c>
      <c r="B45" s="252"/>
      <c r="C45" s="253" t="s">
        <v>33</v>
      </c>
      <c r="D45" s="272"/>
      <c r="E45" s="267">
        <f t="shared" si="2"/>
        <v>163.0612244897959</v>
      </c>
      <c r="F45" s="268"/>
      <c r="G45" s="83"/>
      <c r="H45" s="230">
        <f t="shared" si="3"/>
        <v>83.061224489795919</v>
      </c>
      <c r="I45" s="91">
        <v>80</v>
      </c>
      <c r="J45" s="147">
        <f t="shared" si="4"/>
        <v>163.0612244897959</v>
      </c>
      <c r="K45" s="101"/>
      <c r="L45" s="101"/>
      <c r="N45" s="95"/>
      <c r="O45" s="95"/>
      <c r="P45" s="95"/>
      <c r="Q45" s="95"/>
    </row>
    <row r="46" spans="1:17">
      <c r="A46" s="251" t="s">
        <v>34</v>
      </c>
      <c r="B46" s="252"/>
      <c r="C46" s="253" t="s">
        <v>35</v>
      </c>
      <c r="D46" s="272"/>
      <c r="E46" s="267">
        <f t="shared" si="2"/>
        <v>166.37755102040819</v>
      </c>
      <c r="F46" s="268"/>
      <c r="G46" s="83"/>
      <c r="H46" s="230">
        <f t="shared" si="3"/>
        <v>86.377551020408177</v>
      </c>
      <c r="I46" s="91">
        <v>80</v>
      </c>
      <c r="J46" s="147">
        <f t="shared" si="4"/>
        <v>166.37755102040819</v>
      </c>
      <c r="K46" s="101"/>
      <c r="L46" s="101"/>
      <c r="N46" s="95"/>
      <c r="O46" s="95"/>
      <c r="P46" s="95"/>
      <c r="Q46" s="95"/>
    </row>
    <row r="47" spans="1:17" ht="16.149999999999999" customHeight="1">
      <c r="A47" s="251" t="s">
        <v>36</v>
      </c>
      <c r="B47" s="252"/>
      <c r="C47" s="253" t="s">
        <v>37</v>
      </c>
      <c r="D47" s="272"/>
      <c r="E47" s="267">
        <f t="shared" si="2"/>
        <v>166.37755102040819</v>
      </c>
      <c r="F47" s="268"/>
      <c r="G47" s="83"/>
      <c r="H47" s="230">
        <f t="shared" si="3"/>
        <v>86.377551020408177</v>
      </c>
      <c r="I47" s="91">
        <v>80</v>
      </c>
      <c r="J47" s="147">
        <f t="shared" si="4"/>
        <v>166.37755102040819</v>
      </c>
      <c r="K47" s="101"/>
      <c r="L47" s="101"/>
      <c r="N47" s="95"/>
      <c r="O47" s="95"/>
      <c r="P47" s="95"/>
      <c r="Q47" s="95"/>
    </row>
    <row r="48" spans="1:17" ht="16.149999999999999" customHeight="1">
      <c r="A48" s="254" t="s">
        <v>38</v>
      </c>
      <c r="B48" s="255"/>
      <c r="C48" s="255"/>
      <c r="D48" s="281"/>
      <c r="E48" s="267">
        <f t="shared" si="2"/>
        <v>35.700000000000003</v>
      </c>
      <c r="F48" s="268"/>
      <c r="G48" s="83"/>
      <c r="H48" s="143"/>
      <c r="I48" s="91"/>
      <c r="J48" s="147">
        <v>35.700000000000003</v>
      </c>
      <c r="K48" s="101"/>
      <c r="L48" s="101"/>
    </row>
    <row r="49" spans="1:12" ht="16.149999999999999" customHeight="1" thickBot="1">
      <c r="A49" s="249" t="s">
        <v>39</v>
      </c>
      <c r="B49" s="250"/>
      <c r="C49" s="250"/>
      <c r="D49" s="282"/>
      <c r="E49" s="287">
        <f t="shared" si="2"/>
        <v>97.350000000000009</v>
      </c>
      <c r="F49" s="288"/>
      <c r="G49" s="83"/>
      <c r="H49" s="143"/>
      <c r="I49" s="91"/>
      <c r="J49" s="147">
        <v>97.350000000000009</v>
      </c>
      <c r="K49" s="101"/>
      <c r="L49" s="101"/>
    </row>
    <row r="50" spans="1:12" ht="30" customHeight="1">
      <c r="A50" s="256"/>
      <c r="B50" s="256"/>
      <c r="C50" s="256"/>
      <c r="D50" s="256"/>
      <c r="E50" s="256"/>
      <c r="F50" s="256"/>
      <c r="G50" s="256"/>
    </row>
  </sheetData>
  <mergeCells count="95">
    <mergeCell ref="A43:B43"/>
    <mergeCell ref="C43:D43"/>
    <mergeCell ref="A44:B44"/>
    <mergeCell ref="C44:D44"/>
    <mergeCell ref="A45:B45"/>
    <mergeCell ref="C45:D45"/>
    <mergeCell ref="A49:D49"/>
    <mergeCell ref="A50:G50"/>
    <mergeCell ref="A46:B46"/>
    <mergeCell ref="C46:D46"/>
    <mergeCell ref="A47:B47"/>
    <mergeCell ref="C47:D47"/>
    <mergeCell ref="A48:D48"/>
    <mergeCell ref="E47:F47"/>
    <mergeCell ref="E48:F48"/>
    <mergeCell ref="E49:F49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30:B30"/>
    <mergeCell ref="C30:D30"/>
    <mergeCell ref="A31:B31"/>
    <mergeCell ref="C31:D31"/>
    <mergeCell ref="A32:D32"/>
    <mergeCell ref="A33:D33"/>
    <mergeCell ref="A34:G34"/>
    <mergeCell ref="A35:B35"/>
    <mergeCell ref="C35:D35"/>
    <mergeCell ref="A36:B36"/>
    <mergeCell ref="C36:D36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18:G18"/>
    <mergeCell ref="A19:B19"/>
    <mergeCell ref="C19:D19"/>
    <mergeCell ref="A20:B20"/>
    <mergeCell ref="C20:D20"/>
    <mergeCell ref="E19:F19"/>
    <mergeCell ref="E20:F20"/>
    <mergeCell ref="A21:B21"/>
    <mergeCell ref="C21:D21"/>
    <mergeCell ref="A22:B22"/>
    <mergeCell ref="C22:D22"/>
    <mergeCell ref="A23:B23"/>
    <mergeCell ref="C23:D23"/>
    <mergeCell ref="A1:G1"/>
    <mergeCell ref="A2:G2"/>
    <mergeCell ref="A3:G3"/>
    <mergeCell ref="A6:A11"/>
    <mergeCell ref="A17:D17"/>
    <mergeCell ref="E17:F17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printOptions horizontalCentered="1"/>
  <pageMargins left="0.196850393700787" right="0.196850393700787" top="0.39370078740157499" bottom="0.59055118110236204" header="0" footer="0.196850393700787"/>
  <pageSetup scale="84" orientation="portrait" r:id="rId1"/>
  <headerFooter alignWithMargins="0">
    <oddFooter>&amp;L&amp;P
&amp;RMay 4, 2025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12D-5E30-4DB9-BD8C-33CA363F3B6A}">
  <sheetPr transitionEvaluation="1">
    <tabColor theme="9" tint="0.59999389629810485"/>
    <pageSetUpPr fitToPage="1"/>
  </sheetPr>
  <dimension ref="A1:GT48"/>
  <sheetViews>
    <sheetView defaultGridColor="0" view="pageBreakPreview" colorId="22" zoomScale="90" zoomScaleNormal="110" zoomScaleSheetLayoutView="90" workbookViewId="0">
      <selection activeCell="A6" sqref="A6:A11"/>
    </sheetView>
  </sheetViews>
  <sheetFormatPr defaultColWidth="9" defaultRowHeight="15.5"/>
  <cols>
    <col min="1" max="1" width="8.23046875" style="26" customWidth="1"/>
    <col min="2" max="7" width="11.84375" style="3" customWidth="1"/>
    <col min="8" max="8" width="9" style="131"/>
    <col min="9" max="14" width="9" style="89"/>
    <col min="15" max="16384" width="9" style="3"/>
  </cols>
  <sheetData>
    <row r="1" spans="1:202" ht="24" customHeight="1">
      <c r="A1" s="269" t="s">
        <v>2</v>
      </c>
      <c r="B1" s="269"/>
      <c r="C1" s="269"/>
      <c r="D1" s="269"/>
      <c r="E1" s="269"/>
      <c r="F1" s="269"/>
      <c r="G1" s="269"/>
    </row>
    <row r="2" spans="1:202" ht="21.75" customHeight="1">
      <c r="A2" s="261" t="str">
        <f>'Colonist-6 Panel'!A2</f>
        <v>NET PRICE LIST (May 4, 2025)</v>
      </c>
      <c r="B2" s="261"/>
      <c r="C2" s="261"/>
      <c r="D2" s="261"/>
      <c r="E2" s="261"/>
      <c r="F2" s="261"/>
      <c r="G2" s="261"/>
    </row>
    <row r="3" spans="1:202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</row>
    <row r="4" spans="1:202" ht="11.25" customHeight="1">
      <c r="B4" s="1"/>
      <c r="C4" s="2"/>
      <c r="D4" s="2"/>
      <c r="E4" s="2"/>
      <c r="F4" s="2"/>
      <c r="G4" s="1"/>
    </row>
    <row r="5" spans="1:202" ht="13.5" customHeight="1">
      <c r="B5" s="10"/>
      <c r="C5" s="10"/>
      <c r="D5" s="10"/>
      <c r="E5" s="10"/>
      <c r="F5" s="10"/>
      <c r="G5" s="11"/>
    </row>
    <row r="6" spans="1:202" ht="20.25" customHeight="1">
      <c r="A6" s="263" t="s">
        <v>61</v>
      </c>
      <c r="B6" s="1"/>
      <c r="C6" s="1"/>
      <c r="D6" s="1"/>
      <c r="E6" s="1"/>
      <c r="F6" s="1"/>
      <c r="G6" s="1"/>
    </row>
    <row r="7" spans="1:202" ht="20.25" customHeight="1">
      <c r="A7" s="263"/>
      <c r="B7" s="1"/>
      <c r="C7" s="1"/>
      <c r="D7" s="1"/>
      <c r="E7" s="1"/>
      <c r="F7" s="1"/>
      <c r="G7" s="1"/>
    </row>
    <row r="8" spans="1:202" ht="15.75" customHeight="1">
      <c r="A8" s="263"/>
      <c r="B8" s="1"/>
      <c r="C8" s="1"/>
      <c r="D8" s="1"/>
      <c r="E8" s="1"/>
      <c r="F8" s="1"/>
      <c r="G8" s="1"/>
    </row>
    <row r="9" spans="1:202" ht="15.75" customHeight="1">
      <c r="A9" s="263"/>
      <c r="B9" s="1"/>
      <c r="C9" s="1"/>
      <c r="D9" s="1"/>
      <c r="E9" s="1"/>
      <c r="F9" s="1"/>
      <c r="G9" s="1"/>
    </row>
    <row r="10" spans="1:202" ht="20.25" customHeight="1">
      <c r="A10" s="263"/>
      <c r="B10" s="1"/>
      <c r="C10" s="1"/>
      <c r="D10" s="1"/>
      <c r="E10" s="1"/>
      <c r="F10" s="1"/>
      <c r="G10" s="1"/>
    </row>
    <row r="11" spans="1:202" ht="20.25" customHeight="1">
      <c r="A11" s="263"/>
      <c r="B11" s="1"/>
      <c r="C11" s="1"/>
      <c r="D11" s="1"/>
      <c r="E11" s="1"/>
      <c r="F11" s="1"/>
      <c r="G11" s="1"/>
    </row>
    <row r="12" spans="1:202" ht="9" customHeight="1" thickBot="1">
      <c r="B12" s="4"/>
      <c r="C12" s="5"/>
      <c r="D12" s="5"/>
      <c r="E12" s="5"/>
      <c r="F12" s="5"/>
      <c r="G12" s="6"/>
    </row>
    <row r="13" spans="1:202" ht="38.25" customHeight="1" thickTop="1" thickBot="1">
      <c r="A13" s="16"/>
      <c r="B13" s="18" t="s">
        <v>63</v>
      </c>
      <c r="C13" s="15" t="s">
        <v>64</v>
      </c>
      <c r="D13" s="15" t="s">
        <v>65</v>
      </c>
      <c r="E13" s="15" t="s">
        <v>66</v>
      </c>
      <c r="G13" s="32"/>
      <c r="H13" s="132"/>
      <c r="I13" s="90"/>
      <c r="J13" s="90"/>
      <c r="K13" s="90"/>
      <c r="L13" s="90"/>
      <c r="M13" s="90"/>
      <c r="N13" s="90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</row>
    <row r="14" spans="1:202" ht="16.5" thickTop="1" thickBot="1">
      <c r="A14" s="21" t="s">
        <v>6</v>
      </c>
      <c r="B14" s="19" t="s">
        <v>49</v>
      </c>
      <c r="C14" s="19" t="s">
        <v>7</v>
      </c>
      <c r="D14" s="19" t="s">
        <v>7</v>
      </c>
      <c r="E14" s="19" t="s">
        <v>7</v>
      </c>
      <c r="G14" s="34"/>
      <c r="H14" s="132"/>
      <c r="I14" s="90"/>
      <c r="J14" s="90"/>
      <c r="K14" s="90"/>
      <c r="L14" s="90"/>
      <c r="M14" s="90"/>
      <c r="N14" s="9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</row>
    <row r="15" spans="1:202" ht="16.5" thickTop="1" thickBot="1">
      <c r="A15" s="21" t="s">
        <v>8</v>
      </c>
      <c r="B15" s="19" t="s">
        <v>49</v>
      </c>
      <c r="C15" s="19" t="s">
        <v>49</v>
      </c>
      <c r="D15" s="19" t="s">
        <v>49</v>
      </c>
      <c r="E15" s="19" t="s">
        <v>49</v>
      </c>
      <c r="G15" s="13"/>
      <c r="H15" s="132"/>
      <c r="I15" s="90"/>
      <c r="J15" s="90"/>
      <c r="K15" s="90"/>
      <c r="L15" s="90"/>
      <c r="M15" s="90"/>
      <c r="N15" s="90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</row>
    <row r="16" spans="1:202" ht="16.5" customHeight="1" thickTop="1" thickBot="1">
      <c r="A16" s="7"/>
      <c r="B16" s="9"/>
      <c r="C16" s="9"/>
      <c r="D16" s="10"/>
      <c r="E16" s="9"/>
      <c r="F16" s="9"/>
      <c r="G16" s="9"/>
      <c r="H16" s="132"/>
      <c r="I16" s="90"/>
      <c r="J16" s="90"/>
      <c r="K16" s="90"/>
      <c r="L16" s="90"/>
      <c r="M16" s="90"/>
      <c r="N16" s="90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</row>
    <row r="17" spans="1:202" ht="36" customHeight="1" thickTop="1" thickBot="1">
      <c r="A17" s="264" t="s">
        <v>9</v>
      </c>
      <c r="B17" s="265"/>
      <c r="C17" s="265"/>
      <c r="D17" s="266"/>
      <c r="E17" s="270" t="str">
        <f>'Colonist-6 Panel'!E16</f>
        <v>Net Price</v>
      </c>
      <c r="F17" s="271"/>
      <c r="G17" s="125"/>
      <c r="H17" s="132"/>
      <c r="I17" s="90"/>
      <c r="J17" s="90"/>
      <c r="K17" s="90"/>
      <c r="L17" s="90"/>
      <c r="M17" s="90"/>
      <c r="N17" s="90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</row>
    <row r="18" spans="1:202" ht="30" customHeight="1" thickTop="1" thickBot="1">
      <c r="A18" s="256" t="s">
        <v>59</v>
      </c>
      <c r="B18" s="256"/>
      <c r="C18" s="256"/>
      <c r="D18" s="256"/>
      <c r="E18" s="256"/>
      <c r="F18" s="256"/>
      <c r="G18" s="256"/>
      <c r="H18" s="132"/>
      <c r="I18" s="90"/>
      <c r="J18" s="90"/>
      <c r="K18" s="90"/>
      <c r="L18" s="90"/>
      <c r="M18" s="90"/>
      <c r="N18" s="90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</row>
    <row r="19" spans="1:202">
      <c r="A19" s="257" t="s">
        <v>12</v>
      </c>
      <c r="B19" s="258"/>
      <c r="C19" s="259" t="s">
        <v>13</v>
      </c>
      <c r="D19" s="274"/>
      <c r="E19" s="275" t="s">
        <v>51</v>
      </c>
      <c r="F19" s="276"/>
      <c r="G19" s="83"/>
      <c r="H19" s="132"/>
      <c r="I19" s="90"/>
      <c r="J19" s="90"/>
      <c r="K19" s="90"/>
      <c r="L19" s="90"/>
      <c r="M19" s="90"/>
      <c r="N19" s="90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</row>
    <row r="20" spans="1:202">
      <c r="A20" s="251" t="s">
        <v>14</v>
      </c>
      <c r="B20" s="252"/>
      <c r="C20" s="253" t="s">
        <v>15</v>
      </c>
      <c r="D20" s="272"/>
      <c r="E20" s="267" t="s">
        <v>51</v>
      </c>
      <c r="F20" s="268"/>
      <c r="G20" s="83"/>
      <c r="H20" s="132"/>
      <c r="I20" s="90"/>
      <c r="J20" s="90"/>
      <c r="K20" s="90"/>
      <c r="L20" s="90"/>
      <c r="M20" s="90"/>
      <c r="N20" s="90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</row>
    <row r="21" spans="1:202">
      <c r="A21" s="251" t="s">
        <v>16</v>
      </c>
      <c r="B21" s="252"/>
      <c r="C21" s="253" t="s">
        <v>17</v>
      </c>
      <c r="D21" s="272"/>
      <c r="E21" s="267" t="s">
        <v>51</v>
      </c>
      <c r="F21" s="268"/>
      <c r="G21" s="83"/>
      <c r="H21" s="132"/>
      <c r="I21" s="90"/>
      <c r="J21" s="90"/>
      <c r="K21" s="90"/>
      <c r="L21" s="90"/>
      <c r="M21" s="90"/>
      <c r="N21" s="90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</row>
    <row r="22" spans="1:202">
      <c r="A22" s="251" t="s">
        <v>18</v>
      </c>
      <c r="B22" s="252"/>
      <c r="C22" s="253" t="s">
        <v>19</v>
      </c>
      <c r="D22" s="272"/>
      <c r="E22" s="267" t="s">
        <v>51</v>
      </c>
      <c r="F22" s="268"/>
      <c r="G22" s="83"/>
      <c r="H22" s="132"/>
      <c r="I22" s="90"/>
      <c r="J22" s="90"/>
      <c r="K22" s="90"/>
      <c r="L22" s="90"/>
      <c r="M22" s="90"/>
      <c r="N22" s="90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</row>
    <row r="23" spans="1:202">
      <c r="A23" s="251" t="s">
        <v>20</v>
      </c>
      <c r="B23" s="252"/>
      <c r="C23" s="253" t="s">
        <v>21</v>
      </c>
      <c r="D23" s="272"/>
      <c r="E23" s="267" t="s">
        <v>51</v>
      </c>
      <c r="F23" s="268"/>
      <c r="G23" s="83"/>
      <c r="H23" s="132"/>
      <c r="I23" s="90"/>
      <c r="J23" s="90"/>
      <c r="K23" s="90"/>
      <c r="L23" s="90"/>
      <c r="M23" s="90"/>
      <c r="N23" s="90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</row>
    <row r="24" spans="1:202">
      <c r="A24" s="251" t="s">
        <v>22</v>
      </c>
      <c r="B24" s="252"/>
      <c r="C24" s="253" t="s">
        <v>23</v>
      </c>
      <c r="D24" s="272"/>
      <c r="E24" s="267" t="s">
        <v>51</v>
      </c>
      <c r="F24" s="268"/>
      <c r="G24" s="83"/>
      <c r="H24" s="132"/>
      <c r="I24" s="90"/>
      <c r="J24" s="90"/>
      <c r="K24" s="90"/>
      <c r="L24" s="90"/>
      <c r="M24" s="90"/>
      <c r="N24" s="90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</row>
    <row r="25" spans="1:202">
      <c r="A25" s="251" t="s">
        <v>24</v>
      </c>
      <c r="B25" s="252"/>
      <c r="C25" s="253" t="s">
        <v>25</v>
      </c>
      <c r="D25" s="272"/>
      <c r="E25" s="267" t="s">
        <v>51</v>
      </c>
      <c r="F25" s="268"/>
      <c r="G25" s="83"/>
      <c r="H25" s="132"/>
      <c r="I25" s="90"/>
      <c r="J25" s="90"/>
      <c r="K25" s="90"/>
      <c r="L25" s="90"/>
      <c r="M25" s="90"/>
      <c r="N25" s="90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</row>
    <row r="26" spans="1:202" s="30" customFormat="1">
      <c r="A26" s="251" t="s">
        <v>26</v>
      </c>
      <c r="B26" s="252"/>
      <c r="C26" s="253" t="s">
        <v>27</v>
      </c>
      <c r="D26" s="272"/>
      <c r="E26" s="267" t="s">
        <v>51</v>
      </c>
      <c r="F26" s="268"/>
      <c r="G26" s="128"/>
      <c r="H26" s="132"/>
      <c r="I26" s="90"/>
      <c r="J26" s="90"/>
      <c r="K26" s="90"/>
      <c r="L26" s="90"/>
      <c r="M26" s="90"/>
      <c r="N26" s="90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</row>
    <row r="27" spans="1:202" s="30" customFormat="1">
      <c r="A27" s="251" t="s">
        <v>28</v>
      </c>
      <c r="B27" s="252"/>
      <c r="C27" s="253" t="s">
        <v>29</v>
      </c>
      <c r="D27" s="272"/>
      <c r="E27" s="267" t="s">
        <v>51</v>
      </c>
      <c r="F27" s="268"/>
      <c r="G27" s="128"/>
      <c r="H27" s="132"/>
      <c r="I27" s="90"/>
      <c r="J27" s="90"/>
      <c r="K27" s="90"/>
      <c r="L27" s="90"/>
      <c r="M27" s="90"/>
      <c r="N27" s="90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</row>
    <row r="28" spans="1:202" ht="15.75" customHeight="1">
      <c r="A28" s="251" t="s">
        <v>30</v>
      </c>
      <c r="B28" s="252"/>
      <c r="C28" s="253" t="s">
        <v>31</v>
      </c>
      <c r="D28" s="272"/>
      <c r="E28" s="267" t="s">
        <v>51</v>
      </c>
      <c r="F28" s="268"/>
      <c r="G28" s="83"/>
      <c r="H28" s="132"/>
      <c r="I28" s="90"/>
      <c r="J28" s="90"/>
      <c r="K28" s="90"/>
      <c r="L28" s="90"/>
      <c r="M28" s="90"/>
      <c r="N28" s="90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</row>
    <row r="29" spans="1:202">
      <c r="A29" s="251" t="s">
        <v>32</v>
      </c>
      <c r="B29" s="252"/>
      <c r="C29" s="253" t="s">
        <v>33</v>
      </c>
      <c r="D29" s="272"/>
      <c r="E29" s="267" t="s">
        <v>51</v>
      </c>
      <c r="F29" s="268"/>
      <c r="G29" s="83"/>
      <c r="H29" s="132"/>
      <c r="I29" s="90"/>
      <c r="J29" s="90"/>
      <c r="K29" s="90"/>
      <c r="L29" s="90"/>
      <c r="M29" s="90"/>
      <c r="N29" s="90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</row>
    <row r="30" spans="1:202">
      <c r="A30" s="251" t="s">
        <v>34</v>
      </c>
      <c r="B30" s="252"/>
      <c r="C30" s="253" t="s">
        <v>35</v>
      </c>
      <c r="D30" s="272"/>
      <c r="E30" s="267" t="s">
        <v>51</v>
      </c>
      <c r="F30" s="268"/>
      <c r="G30" s="83"/>
    </row>
    <row r="31" spans="1:202" ht="16.149999999999999" customHeight="1" thickBot="1">
      <c r="A31" s="321" t="s">
        <v>36</v>
      </c>
      <c r="B31" s="322"/>
      <c r="C31" s="323" t="s">
        <v>37</v>
      </c>
      <c r="D31" s="324"/>
      <c r="E31" s="287" t="s">
        <v>51</v>
      </c>
      <c r="F31" s="288"/>
      <c r="G31" s="83"/>
    </row>
    <row r="32" spans="1:202" s="31" customFormat="1" ht="30.75" customHeight="1" thickBot="1">
      <c r="A32" s="273" t="s">
        <v>60</v>
      </c>
      <c r="B32" s="273"/>
      <c r="C32" s="273"/>
      <c r="D32" s="273"/>
      <c r="E32" s="273"/>
      <c r="F32" s="273"/>
      <c r="G32" s="256"/>
      <c r="H32" s="131"/>
      <c r="I32" s="89"/>
      <c r="J32" s="89"/>
      <c r="K32" s="89"/>
      <c r="L32" s="89"/>
      <c r="M32" s="89"/>
      <c r="N32" s="89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</row>
    <row r="33" spans="1:202" s="31" customFormat="1" ht="15" customHeight="1">
      <c r="A33" s="257" t="s">
        <v>12</v>
      </c>
      <c r="B33" s="258"/>
      <c r="C33" s="259" t="s">
        <v>13</v>
      </c>
      <c r="D33" s="274"/>
      <c r="E33" s="289">
        <f>H33</f>
        <v>213.62244897959184</v>
      </c>
      <c r="F33" s="290">
        <v>201.54</v>
      </c>
      <c r="G33" s="83"/>
      <c r="H33" s="131">
        <v>213.62244897959184</v>
      </c>
      <c r="I33"/>
      <c r="J33"/>
      <c r="K33" s="96"/>
      <c r="L33" s="96"/>
      <c r="M33" s="89"/>
      <c r="N33" s="96"/>
      <c r="O33" s="97"/>
      <c r="P33" s="97"/>
      <c r="Q33" s="97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</row>
    <row r="34" spans="1:202" s="31" customFormat="1" ht="15" customHeight="1">
      <c r="A34" s="251" t="s">
        <v>14</v>
      </c>
      <c r="B34" s="252"/>
      <c r="C34" s="253" t="s">
        <v>15</v>
      </c>
      <c r="D34" s="272"/>
      <c r="E34" s="289">
        <f t="shared" ref="E34:E47" si="0">H34</f>
        <v>213.62244897959184</v>
      </c>
      <c r="F34" s="290">
        <v>201.54</v>
      </c>
      <c r="G34" s="83"/>
      <c r="H34" s="131">
        <v>213.62244897959184</v>
      </c>
      <c r="I34"/>
      <c r="J34"/>
      <c r="K34" s="96"/>
      <c r="L34" s="96"/>
      <c r="M34" s="89"/>
      <c r="N34" s="96"/>
      <c r="O34" s="97"/>
      <c r="P34" s="97"/>
      <c r="Q34" s="9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</row>
    <row r="35" spans="1:202" s="31" customFormat="1" ht="15" customHeight="1">
      <c r="A35" s="251" t="s">
        <v>16</v>
      </c>
      <c r="B35" s="252"/>
      <c r="C35" s="253" t="s">
        <v>17</v>
      </c>
      <c r="D35" s="272"/>
      <c r="E35" s="289">
        <f t="shared" si="0"/>
        <v>213.62244897959184</v>
      </c>
      <c r="F35" s="290">
        <v>201.54</v>
      </c>
      <c r="G35" s="83"/>
      <c r="H35" s="131">
        <v>213.62244897959184</v>
      </c>
      <c r="I35"/>
      <c r="J35"/>
      <c r="K35" s="96"/>
      <c r="L35" s="96"/>
      <c r="M35" s="89"/>
      <c r="N35" s="96"/>
      <c r="O35" s="97"/>
      <c r="P35" s="97"/>
      <c r="Q35" s="9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</row>
    <row r="36" spans="1:202" s="31" customFormat="1" ht="15" customHeight="1">
      <c r="A36" s="251" t="s">
        <v>18</v>
      </c>
      <c r="B36" s="252"/>
      <c r="C36" s="253" t="s">
        <v>19</v>
      </c>
      <c r="D36" s="272"/>
      <c r="E36" s="289">
        <f t="shared" si="0"/>
        <v>213.62244897959184</v>
      </c>
      <c r="F36" s="290">
        <v>201.54</v>
      </c>
      <c r="G36" s="83"/>
      <c r="H36" s="131">
        <v>213.62244897959184</v>
      </c>
      <c r="I36"/>
      <c r="J36"/>
      <c r="K36" s="96"/>
      <c r="L36" s="96"/>
      <c r="M36" s="89"/>
      <c r="N36" s="96"/>
      <c r="O36" s="97"/>
      <c r="P36" s="97"/>
      <c r="Q36" s="9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</row>
    <row r="37" spans="1:202" s="31" customFormat="1" ht="15" customHeight="1">
      <c r="A37" s="251" t="s">
        <v>20</v>
      </c>
      <c r="B37" s="252"/>
      <c r="C37" s="253" t="s">
        <v>21</v>
      </c>
      <c r="D37" s="272"/>
      <c r="E37" s="289">
        <f t="shared" si="0"/>
        <v>216.93877551020407</v>
      </c>
      <c r="F37" s="290">
        <v>201.54</v>
      </c>
      <c r="G37" s="83"/>
      <c r="H37" s="131">
        <v>216.93877551020407</v>
      </c>
      <c r="I37"/>
      <c r="J37"/>
      <c r="K37" s="96"/>
      <c r="L37" s="96"/>
      <c r="M37" s="89"/>
      <c r="N37" s="96"/>
      <c r="O37" s="97"/>
      <c r="P37" s="97"/>
      <c r="Q37" s="9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</row>
    <row r="38" spans="1:202" s="31" customFormat="1" ht="15" customHeight="1">
      <c r="A38" s="251" t="s">
        <v>22</v>
      </c>
      <c r="B38" s="252"/>
      <c r="C38" s="253" t="s">
        <v>23</v>
      </c>
      <c r="D38" s="272"/>
      <c r="E38" s="289">
        <f t="shared" si="0"/>
        <v>216.93877551020407</v>
      </c>
      <c r="F38" s="290">
        <v>201.54</v>
      </c>
      <c r="G38" s="83"/>
      <c r="H38" s="131">
        <v>216.93877551020407</v>
      </c>
      <c r="I38"/>
      <c r="J38"/>
      <c r="K38" s="96"/>
      <c r="L38" s="96"/>
      <c r="M38" s="89"/>
      <c r="N38" s="96"/>
      <c r="O38" s="97"/>
      <c r="P38" s="97"/>
      <c r="Q38" s="9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</row>
    <row r="39" spans="1:202" s="31" customFormat="1" ht="15" customHeight="1">
      <c r="A39" s="251" t="s">
        <v>24</v>
      </c>
      <c r="B39" s="252"/>
      <c r="C39" s="253" t="s">
        <v>25</v>
      </c>
      <c r="D39" s="272"/>
      <c r="E39" s="289">
        <f t="shared" si="0"/>
        <v>216.93877551020407</v>
      </c>
      <c r="F39" s="290">
        <v>201.54</v>
      </c>
      <c r="G39" s="83"/>
      <c r="H39" s="131">
        <v>216.93877551020407</v>
      </c>
      <c r="I39"/>
      <c r="J39"/>
      <c r="K39" s="96"/>
      <c r="L39" s="96"/>
      <c r="M39" s="89"/>
      <c r="N39" s="96"/>
      <c r="O39" s="97"/>
      <c r="P39" s="97"/>
      <c r="Q39" s="97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</row>
    <row r="40" spans="1:202" s="31" customFormat="1" ht="15" customHeight="1">
      <c r="A40" s="251" t="s">
        <v>26</v>
      </c>
      <c r="B40" s="252"/>
      <c r="C40" s="253" t="s">
        <v>27</v>
      </c>
      <c r="D40" s="272"/>
      <c r="E40" s="289">
        <f t="shared" si="0"/>
        <v>219.18367346938777</v>
      </c>
      <c r="F40" s="290">
        <v>201.54</v>
      </c>
      <c r="G40" s="83"/>
      <c r="H40" s="131">
        <v>219.18367346938777</v>
      </c>
      <c r="I40"/>
      <c r="J40"/>
      <c r="K40" s="96"/>
      <c r="L40" s="96"/>
      <c r="M40" s="89"/>
      <c r="N40" s="96"/>
      <c r="O40" s="97"/>
      <c r="P40" s="97"/>
      <c r="Q40" s="9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</row>
    <row r="41" spans="1:202" s="31" customFormat="1" ht="15" customHeight="1">
      <c r="A41" s="251" t="s">
        <v>28</v>
      </c>
      <c r="B41" s="252"/>
      <c r="C41" s="253" t="s">
        <v>29</v>
      </c>
      <c r="D41" s="272"/>
      <c r="E41" s="289">
        <f t="shared" si="0"/>
        <v>219.18367346938777</v>
      </c>
      <c r="F41" s="290">
        <v>201.54</v>
      </c>
      <c r="G41" s="83"/>
      <c r="H41" s="131">
        <v>219.18367346938777</v>
      </c>
      <c r="I41"/>
      <c r="J41"/>
      <c r="K41" s="96"/>
      <c r="L41" s="96"/>
      <c r="M41" s="89"/>
      <c r="N41" s="96"/>
      <c r="O41" s="97"/>
      <c r="P41" s="97"/>
      <c r="Q41" s="97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</row>
    <row r="42" spans="1:202" s="31" customFormat="1">
      <c r="A42" s="251" t="s">
        <v>30</v>
      </c>
      <c r="B42" s="252"/>
      <c r="C42" s="253" t="s">
        <v>31</v>
      </c>
      <c r="D42" s="272"/>
      <c r="E42" s="289">
        <f t="shared" si="0"/>
        <v>219.18367346938777</v>
      </c>
      <c r="F42" s="290">
        <v>201.54</v>
      </c>
      <c r="G42" s="83"/>
      <c r="H42" s="131">
        <v>219.18367346938777</v>
      </c>
      <c r="I42"/>
      <c r="J42"/>
      <c r="K42" s="96"/>
      <c r="L42" s="96"/>
      <c r="M42" s="89"/>
      <c r="N42" s="96"/>
      <c r="O42" s="97"/>
      <c r="P42" s="97"/>
      <c r="Q42" s="9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</row>
    <row r="43" spans="1:202" s="31" customFormat="1">
      <c r="A43" s="251" t="s">
        <v>32</v>
      </c>
      <c r="B43" s="252"/>
      <c r="C43" s="253" t="s">
        <v>33</v>
      </c>
      <c r="D43" s="272"/>
      <c r="E43" s="289">
        <f t="shared" si="0"/>
        <v>221.53061224489795</v>
      </c>
      <c r="F43" s="290">
        <v>201.54</v>
      </c>
      <c r="G43" s="83"/>
      <c r="H43" s="131">
        <v>221.53061224489795</v>
      </c>
      <c r="I43"/>
      <c r="J43"/>
      <c r="K43" s="96"/>
      <c r="L43" s="96"/>
      <c r="M43" s="89"/>
      <c r="N43" s="96"/>
      <c r="O43" s="97"/>
      <c r="P43" s="97"/>
      <c r="Q43" s="9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</row>
    <row r="44" spans="1:202" s="31" customFormat="1">
      <c r="A44" s="251" t="s">
        <v>34</v>
      </c>
      <c r="B44" s="252"/>
      <c r="C44" s="253" t="s">
        <v>35</v>
      </c>
      <c r="D44" s="272"/>
      <c r="E44" s="289">
        <f t="shared" si="0"/>
        <v>224.84693877551021</v>
      </c>
      <c r="F44" s="290">
        <v>201.54</v>
      </c>
      <c r="G44" s="83"/>
      <c r="H44" s="131">
        <v>224.84693877551021</v>
      </c>
      <c r="I44"/>
      <c r="J44"/>
      <c r="K44" s="96"/>
      <c r="L44" s="96"/>
      <c r="M44" s="89"/>
      <c r="N44" s="96"/>
      <c r="O44" s="97"/>
      <c r="P44" s="97"/>
      <c r="Q44" s="9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</row>
    <row r="45" spans="1:202" s="31" customFormat="1" ht="16.149999999999999" customHeight="1">
      <c r="A45" s="251" t="s">
        <v>36</v>
      </c>
      <c r="B45" s="252"/>
      <c r="C45" s="253" t="s">
        <v>37</v>
      </c>
      <c r="D45" s="272"/>
      <c r="E45" s="289">
        <f t="shared" si="0"/>
        <v>224.84693877551021</v>
      </c>
      <c r="F45" s="290">
        <v>201.54</v>
      </c>
      <c r="G45" s="83"/>
      <c r="H45" s="131">
        <v>224.84693877551021</v>
      </c>
      <c r="I45"/>
      <c r="J45"/>
      <c r="K45" s="96"/>
      <c r="L45" s="96"/>
      <c r="M45" s="89"/>
      <c r="N45" s="96"/>
      <c r="O45" s="97"/>
      <c r="P45" s="97"/>
      <c r="Q45" s="9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</row>
    <row r="46" spans="1:202" s="31" customFormat="1" ht="16.149999999999999" customHeight="1">
      <c r="A46" s="254" t="s">
        <v>38</v>
      </c>
      <c r="B46" s="255"/>
      <c r="C46" s="255"/>
      <c r="D46" s="281"/>
      <c r="E46" s="267">
        <f t="shared" si="0"/>
        <v>18.350000000000001</v>
      </c>
      <c r="F46" s="268">
        <v>201.54</v>
      </c>
      <c r="G46" s="83"/>
      <c r="H46" s="131">
        <v>18.350000000000001</v>
      </c>
      <c r="I46"/>
      <c r="J46"/>
      <c r="K46" s="96"/>
      <c r="L46" s="96"/>
      <c r="M46" s="89"/>
      <c r="N46" s="96"/>
      <c r="O46" s="98"/>
      <c r="P46" s="98"/>
      <c r="Q46" s="98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</row>
    <row r="47" spans="1:202" s="31" customFormat="1" ht="16.149999999999999" customHeight="1" thickBot="1">
      <c r="A47" s="249" t="s">
        <v>39</v>
      </c>
      <c r="B47" s="250"/>
      <c r="C47" s="250"/>
      <c r="D47" s="282"/>
      <c r="E47" s="287">
        <f t="shared" si="0"/>
        <v>116.85000000000001</v>
      </c>
      <c r="F47" s="288">
        <v>201.54</v>
      </c>
      <c r="G47" s="83"/>
      <c r="H47" s="131">
        <v>116.85000000000001</v>
      </c>
      <c r="I47"/>
      <c r="J47"/>
      <c r="K47" s="96"/>
      <c r="L47" s="96"/>
      <c r="M47" s="89"/>
      <c r="N47" s="8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</row>
    <row r="48" spans="1:202" ht="21.75" customHeight="1"/>
  </sheetData>
  <mergeCells count="90">
    <mergeCell ref="A45:B45"/>
    <mergeCell ref="C45:D45"/>
    <mergeCell ref="A46:D46"/>
    <mergeCell ref="A47:D47"/>
    <mergeCell ref="A42:B42"/>
    <mergeCell ref="C42:D42"/>
    <mergeCell ref="A43:B43"/>
    <mergeCell ref="C43:D43"/>
    <mergeCell ref="A44:B44"/>
    <mergeCell ref="C44:D44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30:B30"/>
    <mergeCell ref="C30:D30"/>
    <mergeCell ref="A31:B31"/>
    <mergeCell ref="C31:D31"/>
    <mergeCell ref="A32:G32"/>
    <mergeCell ref="E31:F31"/>
    <mergeCell ref="A33:B33"/>
    <mergeCell ref="C33:D33"/>
    <mergeCell ref="A34:B34"/>
    <mergeCell ref="C34:D34"/>
    <mergeCell ref="A35:B35"/>
    <mergeCell ref="C35:D35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18:G18"/>
    <mergeCell ref="A19:B19"/>
    <mergeCell ref="C19:D19"/>
    <mergeCell ref="A20:B20"/>
    <mergeCell ref="C20:D20"/>
    <mergeCell ref="E19:F19"/>
    <mergeCell ref="E20:F20"/>
    <mergeCell ref="A21:B21"/>
    <mergeCell ref="C21:D21"/>
    <mergeCell ref="A22:B22"/>
    <mergeCell ref="C22:D22"/>
    <mergeCell ref="A23:B23"/>
    <mergeCell ref="C23:D23"/>
    <mergeCell ref="A1:G1"/>
    <mergeCell ref="A2:G2"/>
    <mergeCell ref="A3:G3"/>
    <mergeCell ref="A6:A11"/>
    <mergeCell ref="A17:D17"/>
    <mergeCell ref="E17:F17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rintOptions horizontalCentered="1"/>
  <pageMargins left="0.196850393700787" right="0.196850393700787" top="0.39370078740157499" bottom="0.59055118110236204" header="0" footer="0.196850393700787"/>
  <pageSetup scale="87" orientation="portrait" r:id="rId1"/>
  <headerFooter alignWithMargins="0">
    <oddFooter>&amp;L&amp;P
&amp;RMay 4, 2025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2EFA-854D-4381-ABFC-1177DA119422}">
  <sheetPr transitionEvaluation="1">
    <tabColor theme="9" tint="0.59999389629810485"/>
    <pageSetUpPr fitToPage="1"/>
  </sheetPr>
  <dimension ref="A1:GT65"/>
  <sheetViews>
    <sheetView defaultGridColor="0" view="pageBreakPreview" colorId="22" zoomScale="90" zoomScaleNormal="110" zoomScaleSheetLayoutView="90" workbookViewId="0">
      <selection activeCell="A5" sqref="A5:A11"/>
    </sheetView>
  </sheetViews>
  <sheetFormatPr defaultColWidth="9" defaultRowHeight="15.5"/>
  <cols>
    <col min="1" max="1" width="8.23046875" style="26" customWidth="1"/>
    <col min="2" max="4" width="11.84375" style="3" customWidth="1"/>
    <col min="5" max="5" width="20.23046875" style="3" customWidth="1"/>
    <col min="6" max="7" width="8" style="3" customWidth="1"/>
    <col min="8" max="13" width="9" style="89"/>
    <col min="14" max="16384" width="9" style="3"/>
  </cols>
  <sheetData>
    <row r="1" spans="1:202" ht="24" customHeight="1">
      <c r="A1" s="269" t="s">
        <v>2</v>
      </c>
      <c r="B1" s="269"/>
      <c r="C1" s="269"/>
      <c r="D1" s="269"/>
      <c r="E1" s="269"/>
      <c r="F1" s="269"/>
      <c r="G1" s="269"/>
    </row>
    <row r="2" spans="1:202" ht="21.75" customHeight="1">
      <c r="A2" s="261" t="str">
        <f>'Colonist-6 Panel'!A2</f>
        <v>NET PRICE LIST (May 4, 2025)</v>
      </c>
      <c r="B2" s="261"/>
      <c r="C2" s="261"/>
      <c r="D2" s="261"/>
      <c r="E2" s="261"/>
      <c r="F2" s="261"/>
      <c r="G2" s="261"/>
    </row>
    <row r="3" spans="1:202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</row>
    <row r="4" spans="1:202" ht="11.25" customHeight="1">
      <c r="B4" s="1"/>
      <c r="C4" s="2"/>
      <c r="D4" s="2"/>
      <c r="E4" s="2"/>
      <c r="F4" s="2"/>
      <c r="G4" s="1"/>
    </row>
    <row r="5" spans="1:202" ht="19.5" customHeight="1">
      <c r="A5" s="328" t="s">
        <v>67</v>
      </c>
      <c r="B5" s="1"/>
      <c r="C5" s="2"/>
      <c r="D5" s="2"/>
      <c r="E5" s="2"/>
      <c r="F5" s="2"/>
      <c r="G5" s="1"/>
    </row>
    <row r="6" spans="1:202" ht="15.75" customHeight="1">
      <c r="A6" s="263"/>
      <c r="B6" s="1"/>
      <c r="C6" s="2"/>
      <c r="D6" s="2"/>
      <c r="E6" s="2"/>
      <c r="F6" s="2"/>
      <c r="G6" s="1"/>
    </row>
    <row r="7" spans="1:202" ht="15.75" customHeight="1">
      <c r="A7" s="263"/>
      <c r="B7" s="1"/>
      <c r="C7" s="2"/>
      <c r="D7" s="2"/>
      <c r="E7" s="2"/>
      <c r="F7" s="2"/>
      <c r="G7" s="1"/>
    </row>
    <row r="8" spans="1:202" ht="20.25" customHeight="1">
      <c r="A8" s="263"/>
      <c r="B8" s="1"/>
      <c r="C8" s="2"/>
      <c r="D8" s="2"/>
      <c r="E8" s="2"/>
      <c r="F8" s="2"/>
      <c r="G8" s="1"/>
    </row>
    <row r="9" spans="1:202" ht="20.25" customHeight="1">
      <c r="A9" s="263"/>
      <c r="B9" s="1"/>
      <c r="C9" s="2"/>
      <c r="D9" s="2"/>
      <c r="E9" s="2"/>
      <c r="F9" s="2"/>
      <c r="G9" s="1"/>
    </row>
    <row r="10" spans="1:202" ht="9" customHeight="1">
      <c r="A10" s="263"/>
      <c r="B10" s="1"/>
      <c r="C10" s="2"/>
      <c r="D10" s="2"/>
      <c r="E10" s="2"/>
      <c r="F10" s="2"/>
      <c r="G10" s="1"/>
    </row>
    <row r="11" spans="1:202" ht="15.75" customHeight="1" thickBot="1">
      <c r="A11" s="263"/>
      <c r="B11" s="1"/>
      <c r="C11" s="2"/>
      <c r="D11" s="2"/>
      <c r="E11" s="2"/>
      <c r="F11" s="2"/>
      <c r="G11" s="1"/>
    </row>
    <row r="12" spans="1:202" ht="16.5" thickTop="1" thickBot="1">
      <c r="A12" s="21" t="s">
        <v>6</v>
      </c>
      <c r="B12" s="19" t="s">
        <v>7</v>
      </c>
      <c r="C12" s="24"/>
      <c r="D12" s="13"/>
      <c r="E12" s="8"/>
      <c r="F12" s="9"/>
      <c r="G12" s="10"/>
    </row>
    <row r="13" spans="1:202" ht="16.5" thickTop="1" thickBot="1">
      <c r="A13" s="21" t="s">
        <v>8</v>
      </c>
      <c r="B13" s="19" t="s">
        <v>7</v>
      </c>
      <c r="C13" s="24"/>
      <c r="D13" s="13"/>
      <c r="E13" s="8"/>
      <c r="F13" s="9"/>
      <c r="G13" s="10"/>
    </row>
    <row r="14" spans="1:202" ht="13.5" customHeight="1" thickTop="1" thickBot="1">
      <c r="B14" s="10"/>
      <c r="C14" s="10"/>
      <c r="D14" s="10"/>
      <c r="E14" s="10"/>
      <c r="F14" s="10"/>
      <c r="G14" s="11"/>
    </row>
    <row r="15" spans="1:202" ht="36" customHeight="1" thickTop="1" thickBot="1">
      <c r="A15" s="264" t="s">
        <v>9</v>
      </c>
      <c r="B15" s="265"/>
      <c r="C15" s="265"/>
      <c r="D15" s="266"/>
      <c r="E15" s="126" t="str">
        <f>'Colonist-6 Panel'!E16</f>
        <v>Net Price</v>
      </c>
      <c r="F15" s="125"/>
      <c r="G15" s="129"/>
      <c r="H15" s="130"/>
      <c r="I15" s="91"/>
      <c r="J15" s="91"/>
      <c r="K15" s="91"/>
      <c r="L15" s="91"/>
      <c r="M15" s="9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</row>
    <row r="16" spans="1:202" ht="30" customHeight="1" thickTop="1" thickBot="1">
      <c r="A16" s="256" t="s">
        <v>11</v>
      </c>
      <c r="B16" s="256"/>
      <c r="C16" s="256"/>
      <c r="D16" s="256"/>
      <c r="E16" s="256"/>
      <c r="F16" s="256"/>
      <c r="G16" s="256"/>
      <c r="H16" s="91"/>
      <c r="I16"/>
      <c r="J16"/>
      <c r="K16"/>
      <c r="L16" s="91"/>
      <c r="M16" s="9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</row>
    <row r="17" spans="1:202">
      <c r="A17" s="257" t="s">
        <v>12</v>
      </c>
      <c r="B17" s="258"/>
      <c r="C17" s="259" t="s">
        <v>13</v>
      </c>
      <c r="D17" s="274"/>
      <c r="E17" s="148">
        <v>50.204081632653065</v>
      </c>
      <c r="F17" s="83"/>
      <c r="G17" s="81"/>
      <c r="H17"/>
      <c r="I17"/>
      <c r="J17"/>
      <c r="K17"/>
      <c r="L17" s="101"/>
      <c r="M17" s="91"/>
      <c r="N17" s="95"/>
      <c r="O17" s="95"/>
      <c r="P17" s="95"/>
      <c r="Q17" s="95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</row>
    <row r="18" spans="1:202">
      <c r="A18" s="251" t="s">
        <v>14</v>
      </c>
      <c r="B18" s="252"/>
      <c r="C18" s="253" t="s">
        <v>15</v>
      </c>
      <c r="D18" s="272"/>
      <c r="E18" s="149">
        <v>50.204081632653065</v>
      </c>
      <c r="F18" s="83"/>
      <c r="G18" s="81"/>
      <c r="H18"/>
      <c r="I18"/>
      <c r="J18"/>
      <c r="K18"/>
      <c r="L18" s="101"/>
      <c r="M18" s="91"/>
      <c r="N18" s="95"/>
      <c r="O18" s="95"/>
      <c r="P18" s="95"/>
      <c r="Q18" s="95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</row>
    <row r="19" spans="1:202">
      <c r="A19" s="251" t="s">
        <v>16</v>
      </c>
      <c r="B19" s="252"/>
      <c r="C19" s="253" t="s">
        <v>17</v>
      </c>
      <c r="D19" s="272"/>
      <c r="E19" s="149">
        <v>50.204081632653065</v>
      </c>
      <c r="F19" s="83"/>
      <c r="G19" s="81"/>
      <c r="H19"/>
      <c r="I19"/>
      <c r="J19"/>
      <c r="K19"/>
      <c r="L19" s="101"/>
      <c r="M19" s="91"/>
      <c r="N19" s="95"/>
      <c r="O19" s="95"/>
      <c r="P19" s="95"/>
      <c r="Q19" s="95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</row>
    <row r="20" spans="1:202">
      <c r="A20" s="251" t="s">
        <v>18</v>
      </c>
      <c r="B20" s="252"/>
      <c r="C20" s="253" t="s">
        <v>19</v>
      </c>
      <c r="D20" s="272"/>
      <c r="E20" s="149">
        <v>50.204081632653065</v>
      </c>
      <c r="F20" s="83"/>
      <c r="G20" s="81"/>
      <c r="H20"/>
      <c r="I20"/>
      <c r="J20"/>
      <c r="K20"/>
      <c r="L20" s="101"/>
      <c r="M20" s="91"/>
      <c r="N20" s="95"/>
      <c r="O20" s="95"/>
      <c r="P20" s="95"/>
      <c r="Q20" s="95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</row>
    <row r="21" spans="1:202">
      <c r="A21" s="251" t="s">
        <v>20</v>
      </c>
      <c r="B21" s="252"/>
      <c r="C21" s="253" t="s">
        <v>21</v>
      </c>
      <c r="D21" s="272"/>
      <c r="E21" s="149">
        <v>51.377551020408163</v>
      </c>
      <c r="F21" s="83"/>
      <c r="G21" s="81"/>
      <c r="H21"/>
      <c r="I21"/>
      <c r="J21"/>
      <c r="K21"/>
      <c r="L21" s="101"/>
      <c r="M21" s="91"/>
      <c r="N21" s="95"/>
      <c r="O21" s="95"/>
      <c r="P21" s="95"/>
      <c r="Q21" s="95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</row>
    <row r="22" spans="1:202">
      <c r="A22" s="251" t="s">
        <v>22</v>
      </c>
      <c r="B22" s="252"/>
      <c r="C22" s="253" t="s">
        <v>23</v>
      </c>
      <c r="D22" s="272"/>
      <c r="E22" s="149">
        <v>51.377551020408163</v>
      </c>
      <c r="F22" s="83"/>
      <c r="G22" s="81"/>
      <c r="H22"/>
      <c r="I22"/>
      <c r="J22"/>
      <c r="K22"/>
      <c r="L22" s="101"/>
      <c r="M22" s="91"/>
      <c r="N22" s="95"/>
      <c r="O22" s="95"/>
      <c r="P22" s="95"/>
      <c r="Q22" s="95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</row>
    <row r="23" spans="1:202">
      <c r="A23" s="251" t="s">
        <v>24</v>
      </c>
      <c r="B23" s="252"/>
      <c r="C23" s="253" t="s">
        <v>25</v>
      </c>
      <c r="D23" s="272"/>
      <c r="E23" s="149">
        <v>51.377551020408163</v>
      </c>
      <c r="F23" s="83"/>
      <c r="G23" s="81"/>
      <c r="H23"/>
      <c r="I23"/>
      <c r="J23"/>
      <c r="K23"/>
      <c r="L23" s="101"/>
      <c r="M23" s="91"/>
      <c r="N23" s="95"/>
      <c r="O23" s="95"/>
      <c r="P23" s="95"/>
      <c r="Q23" s="95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</row>
    <row r="24" spans="1:202" s="30" customFormat="1">
      <c r="A24" s="251" t="s">
        <v>26</v>
      </c>
      <c r="B24" s="252"/>
      <c r="C24" s="253" t="s">
        <v>27</v>
      </c>
      <c r="D24" s="272"/>
      <c r="E24" s="149">
        <v>54.642857142857146</v>
      </c>
      <c r="F24" s="83"/>
      <c r="G24" s="81"/>
      <c r="H24"/>
      <c r="I24"/>
      <c r="J24"/>
      <c r="K24"/>
      <c r="L24" s="101"/>
      <c r="M24" s="91"/>
      <c r="N24" s="95"/>
      <c r="O24" s="95"/>
      <c r="P24" s="95"/>
      <c r="Q24" s="95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</row>
    <row r="25" spans="1:202" s="30" customFormat="1">
      <c r="A25" s="251" t="s">
        <v>28</v>
      </c>
      <c r="B25" s="252"/>
      <c r="C25" s="253" t="s">
        <v>29</v>
      </c>
      <c r="D25" s="272"/>
      <c r="E25" s="149">
        <v>54.642857142857146</v>
      </c>
      <c r="F25" s="83"/>
      <c r="G25" s="81"/>
      <c r="H25"/>
      <c r="I25"/>
      <c r="J25"/>
      <c r="K25"/>
      <c r="L25" s="101"/>
      <c r="M25" s="91"/>
      <c r="N25" s="95"/>
      <c r="O25" s="95"/>
      <c r="P25" s="95"/>
      <c r="Q25" s="95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</row>
    <row r="26" spans="1:202" ht="15.75" customHeight="1">
      <c r="A26" s="251" t="s">
        <v>30</v>
      </c>
      <c r="B26" s="252"/>
      <c r="C26" s="253" t="s">
        <v>31</v>
      </c>
      <c r="D26" s="272"/>
      <c r="E26" s="149">
        <v>54.642857142857146</v>
      </c>
      <c r="F26" s="83"/>
      <c r="G26" s="81"/>
      <c r="H26"/>
      <c r="I26"/>
      <c r="J26"/>
      <c r="K26"/>
      <c r="L26" s="101"/>
      <c r="M26" s="91"/>
      <c r="N26" s="95"/>
      <c r="O26" s="95"/>
      <c r="P26" s="95"/>
      <c r="Q26" s="95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</row>
    <row r="27" spans="1:202">
      <c r="A27" s="251" t="s">
        <v>32</v>
      </c>
      <c r="B27" s="252"/>
      <c r="C27" s="253" t="s">
        <v>33</v>
      </c>
      <c r="D27" s="272"/>
      <c r="E27" s="149">
        <v>56.632653061224488</v>
      </c>
      <c r="F27" s="83"/>
      <c r="G27" s="81"/>
      <c r="H27"/>
      <c r="I27"/>
      <c r="J27"/>
      <c r="K27"/>
      <c r="L27" s="101"/>
      <c r="M27" s="91"/>
      <c r="N27" s="95"/>
      <c r="O27" s="95"/>
      <c r="P27" s="95"/>
      <c r="Q27" s="95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</row>
    <row r="28" spans="1:202">
      <c r="A28" s="251" t="s">
        <v>34</v>
      </c>
      <c r="B28" s="252"/>
      <c r="C28" s="253" t="s">
        <v>35</v>
      </c>
      <c r="D28" s="272"/>
      <c r="E28" s="149">
        <v>61.326530612244902</v>
      </c>
      <c r="F28" s="83"/>
      <c r="G28" s="81"/>
      <c r="H28"/>
      <c r="I28"/>
      <c r="J28"/>
      <c r="K28"/>
      <c r="L28" s="101"/>
      <c r="N28" s="95"/>
      <c r="O28" s="95"/>
      <c r="P28" s="95"/>
      <c r="Q28" s="95"/>
    </row>
    <row r="29" spans="1:202" ht="16.149999999999999" customHeight="1">
      <c r="A29" s="251" t="s">
        <v>36</v>
      </c>
      <c r="B29" s="252"/>
      <c r="C29" s="253" t="s">
        <v>37</v>
      </c>
      <c r="D29" s="272"/>
      <c r="E29" s="149">
        <v>61.326530612244902</v>
      </c>
      <c r="F29" s="83"/>
      <c r="G29" s="81"/>
      <c r="H29"/>
      <c r="I29"/>
      <c r="J29"/>
      <c r="K29"/>
      <c r="L29" s="101"/>
      <c r="N29" s="95"/>
      <c r="O29" s="95"/>
      <c r="P29" s="95"/>
      <c r="Q29" s="95"/>
    </row>
    <row r="30" spans="1:202" ht="16.149999999999999" customHeight="1">
      <c r="A30" s="251" t="s">
        <v>52</v>
      </c>
      <c r="B30" s="252"/>
      <c r="C30" s="253" t="s">
        <v>68</v>
      </c>
      <c r="D30" s="272"/>
      <c r="E30" s="149">
        <v>88.877551020408177</v>
      </c>
      <c r="F30" s="83"/>
      <c r="G30" s="81"/>
      <c r="H30"/>
      <c r="I30"/>
      <c r="J30"/>
      <c r="K30"/>
      <c r="L30" s="101"/>
      <c r="N30" s="95"/>
      <c r="O30" s="95"/>
      <c r="P30" s="95"/>
      <c r="Q30" s="95"/>
    </row>
    <row r="31" spans="1:202" ht="16.149999999999999" customHeight="1">
      <c r="A31" s="254" t="s">
        <v>38</v>
      </c>
      <c r="B31" s="255"/>
      <c r="C31" s="255"/>
      <c r="D31" s="281"/>
      <c r="E31" s="79">
        <v>35.700000000000003</v>
      </c>
      <c r="F31" s="83"/>
      <c r="G31" s="81"/>
      <c r="H31"/>
      <c r="I31"/>
      <c r="J31"/>
      <c r="K31"/>
      <c r="L31" s="101"/>
      <c r="N31" s="95"/>
      <c r="O31" s="95"/>
      <c r="P31" s="95"/>
      <c r="Q31" s="95"/>
    </row>
    <row r="32" spans="1:202" ht="16.149999999999999" customHeight="1" thickBot="1">
      <c r="A32" s="249" t="s">
        <v>39</v>
      </c>
      <c r="B32" s="250"/>
      <c r="C32" s="250"/>
      <c r="D32" s="282"/>
      <c r="E32" s="80">
        <v>83.25</v>
      </c>
      <c r="F32" s="83"/>
      <c r="G32" s="81"/>
      <c r="H32"/>
      <c r="I32"/>
      <c r="J32"/>
      <c r="K32"/>
      <c r="L32" s="101"/>
      <c r="N32" s="95"/>
      <c r="O32" s="95"/>
      <c r="P32" s="95"/>
      <c r="Q32" s="95"/>
    </row>
    <row r="33" spans="1:202" ht="30" customHeight="1" thickBot="1">
      <c r="A33" s="256" t="s">
        <v>54</v>
      </c>
      <c r="B33" s="256"/>
      <c r="C33" s="256"/>
      <c r="D33" s="256"/>
      <c r="E33" s="256"/>
      <c r="F33" s="256"/>
      <c r="G33" s="256"/>
      <c r="H33"/>
      <c r="I33"/>
      <c r="J33"/>
      <c r="K33"/>
      <c r="L33" s="101"/>
      <c r="M33" s="92"/>
      <c r="N33" s="95"/>
      <c r="O33" s="95"/>
      <c r="P33" s="95"/>
      <c r="Q33" s="95"/>
    </row>
    <row r="34" spans="1:202" ht="16.149999999999999" customHeight="1">
      <c r="A34" s="317" t="s">
        <v>18</v>
      </c>
      <c r="B34" s="318"/>
      <c r="C34" s="319" t="s">
        <v>19</v>
      </c>
      <c r="D34" s="319"/>
      <c r="E34" s="148">
        <v>66.887755102040813</v>
      </c>
      <c r="F34" s="81"/>
      <c r="G34" s="81"/>
      <c r="H34"/>
      <c r="I34"/>
      <c r="J34"/>
      <c r="K34"/>
      <c r="L34" s="101"/>
      <c r="N34" s="95"/>
      <c r="O34" s="95"/>
      <c r="P34" s="95"/>
      <c r="Q34" s="95"/>
    </row>
    <row r="35" spans="1:202" s="31" customFormat="1" ht="16.149999999999999" customHeight="1">
      <c r="A35" s="320" t="s">
        <v>20</v>
      </c>
      <c r="B35" s="278"/>
      <c r="C35" s="279" t="s">
        <v>21</v>
      </c>
      <c r="D35" s="279"/>
      <c r="E35" s="149">
        <v>66.887755102040813</v>
      </c>
      <c r="F35" s="81"/>
      <c r="G35" s="81"/>
      <c r="H35"/>
      <c r="I35"/>
      <c r="J35"/>
      <c r="K35"/>
      <c r="L35" s="101"/>
      <c r="M35" s="89"/>
      <c r="N35" s="95"/>
      <c r="O35" s="95"/>
      <c r="P35" s="95"/>
      <c r="Q35" s="95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</row>
    <row r="36" spans="1:202" s="31" customFormat="1" ht="16.149999999999999" customHeight="1">
      <c r="A36" s="320" t="s">
        <v>22</v>
      </c>
      <c r="B36" s="278"/>
      <c r="C36" s="279" t="s">
        <v>23</v>
      </c>
      <c r="D36" s="279"/>
      <c r="E36" s="149">
        <v>66.887755102040813</v>
      </c>
      <c r="F36" s="81"/>
      <c r="G36" s="81"/>
      <c r="H36"/>
      <c r="I36"/>
      <c r="J36"/>
      <c r="K36"/>
      <c r="L36" s="101"/>
      <c r="M36" s="89"/>
      <c r="N36" s="95"/>
      <c r="O36" s="95"/>
      <c r="P36" s="95"/>
      <c r="Q36" s="95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</row>
    <row r="37" spans="1:202" s="31" customFormat="1" ht="16.149999999999999" customHeight="1">
      <c r="A37" s="320" t="s">
        <v>24</v>
      </c>
      <c r="B37" s="278"/>
      <c r="C37" s="279" t="s">
        <v>25</v>
      </c>
      <c r="D37" s="279"/>
      <c r="E37" s="149">
        <v>66.887755102040813</v>
      </c>
      <c r="F37" s="81"/>
      <c r="G37" s="81"/>
      <c r="H37"/>
      <c r="I37"/>
      <c r="J37"/>
      <c r="K37"/>
      <c r="L37" s="101"/>
      <c r="M37" s="89"/>
      <c r="N37" s="95"/>
      <c r="O37" s="95"/>
      <c r="P37" s="95"/>
      <c r="Q37" s="95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</row>
    <row r="38" spans="1:202" s="31" customFormat="1" ht="16.149999999999999" customHeight="1">
      <c r="A38" s="320" t="s">
        <v>26</v>
      </c>
      <c r="B38" s="278"/>
      <c r="C38" s="279" t="s">
        <v>27</v>
      </c>
      <c r="D38" s="279"/>
      <c r="E38" s="149">
        <v>72.908163265306129</v>
      </c>
      <c r="F38" s="81"/>
      <c r="G38" s="81"/>
      <c r="H38"/>
      <c r="I38"/>
      <c r="J38"/>
      <c r="K38"/>
      <c r="L38" s="101"/>
      <c r="M38" s="89"/>
      <c r="N38" s="95"/>
      <c r="O38" s="95"/>
      <c r="P38" s="95"/>
      <c r="Q38" s="95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</row>
    <row r="39" spans="1:202" s="31" customFormat="1" ht="16.149999999999999" customHeight="1">
      <c r="A39" s="320" t="s">
        <v>28</v>
      </c>
      <c r="B39" s="278"/>
      <c r="C39" s="279" t="s">
        <v>29</v>
      </c>
      <c r="D39" s="279"/>
      <c r="E39" s="149">
        <v>72.908163265306129</v>
      </c>
      <c r="F39" s="81"/>
      <c r="G39" s="81"/>
      <c r="H39"/>
      <c r="I39"/>
      <c r="J39"/>
      <c r="K39"/>
      <c r="L39" s="101"/>
      <c r="M39" s="89"/>
      <c r="N39" s="95"/>
      <c r="O39" s="95"/>
      <c r="P39" s="95"/>
      <c r="Q39" s="95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</row>
    <row r="40" spans="1:202" s="31" customFormat="1" ht="16.149999999999999" customHeight="1">
      <c r="A40" s="320" t="s">
        <v>30</v>
      </c>
      <c r="B40" s="278"/>
      <c r="C40" s="279" t="s">
        <v>31</v>
      </c>
      <c r="D40" s="279"/>
      <c r="E40" s="149">
        <v>72.908163265306129</v>
      </c>
      <c r="F40" s="81"/>
      <c r="G40" s="81"/>
      <c r="H40"/>
      <c r="I40"/>
      <c r="J40"/>
      <c r="K40"/>
      <c r="L40" s="101"/>
      <c r="M40" s="89"/>
      <c r="N40" s="95"/>
      <c r="O40" s="95"/>
      <c r="P40" s="95"/>
      <c r="Q40" s="95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</row>
    <row r="41" spans="1:202" s="31" customFormat="1" ht="16.149999999999999" customHeight="1">
      <c r="A41" s="320" t="s">
        <v>32</v>
      </c>
      <c r="B41" s="278"/>
      <c r="C41" s="279" t="s">
        <v>33</v>
      </c>
      <c r="D41" s="279"/>
      <c r="E41" s="149">
        <v>78.26530612244899</v>
      </c>
      <c r="F41" s="81"/>
      <c r="G41" s="81"/>
      <c r="H41"/>
      <c r="I41"/>
      <c r="J41"/>
      <c r="K41"/>
      <c r="L41" s="101"/>
      <c r="M41" s="89"/>
      <c r="N41" s="95"/>
      <c r="O41" s="95"/>
      <c r="P41" s="95"/>
      <c r="Q41" s="95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</row>
    <row r="42" spans="1:202" s="31" customFormat="1" ht="16.149999999999999" customHeight="1">
      <c r="A42" s="320" t="s">
        <v>34</v>
      </c>
      <c r="B42" s="278"/>
      <c r="C42" s="279" t="s">
        <v>35</v>
      </c>
      <c r="D42" s="279"/>
      <c r="E42" s="149">
        <v>78.26530612244899</v>
      </c>
      <c r="F42" s="81"/>
      <c r="G42" s="81"/>
      <c r="H42"/>
      <c r="I42"/>
      <c r="J42"/>
      <c r="K42"/>
      <c r="L42" s="101"/>
      <c r="M42" s="89"/>
      <c r="N42" s="95"/>
      <c r="O42" s="95"/>
      <c r="P42" s="95"/>
      <c r="Q42" s="95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</row>
    <row r="43" spans="1:202" s="31" customFormat="1" ht="15.75" customHeight="1">
      <c r="A43" s="251" t="s">
        <v>36</v>
      </c>
      <c r="B43" s="252"/>
      <c r="C43" s="279" t="s">
        <v>37</v>
      </c>
      <c r="D43" s="279"/>
      <c r="E43" s="149">
        <v>78.26530612244899</v>
      </c>
      <c r="F43" s="81"/>
      <c r="G43" s="81"/>
      <c r="H43"/>
      <c r="I43"/>
      <c r="J43"/>
      <c r="K43"/>
      <c r="L43" s="101"/>
      <c r="M43" s="89"/>
      <c r="N43" s="95"/>
      <c r="O43" s="95"/>
      <c r="P43" s="95"/>
      <c r="Q43" s="95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</row>
    <row r="44" spans="1:202" s="31" customFormat="1" ht="15.75" customHeight="1">
      <c r="A44" s="254" t="s">
        <v>38</v>
      </c>
      <c r="B44" s="255"/>
      <c r="C44" s="255"/>
      <c r="D44" s="255"/>
      <c r="E44" s="79">
        <v>35.700000000000003</v>
      </c>
      <c r="F44" s="81"/>
      <c r="G44" s="81"/>
      <c r="H44"/>
      <c r="I44"/>
      <c r="J44"/>
      <c r="K44"/>
      <c r="L44" s="101"/>
      <c r="M44" s="89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</row>
    <row r="45" spans="1:202" s="31" customFormat="1" ht="15.75" customHeight="1" thickBot="1">
      <c r="A45" s="249" t="s">
        <v>39</v>
      </c>
      <c r="B45" s="250"/>
      <c r="C45" s="250"/>
      <c r="D45" s="250"/>
      <c r="E45" s="80">
        <v>83.25</v>
      </c>
      <c r="F45" s="81"/>
      <c r="G45" s="81"/>
      <c r="H45"/>
      <c r="I45"/>
      <c r="J45"/>
      <c r="K45"/>
      <c r="L45" s="101"/>
      <c r="M45" s="89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</row>
    <row r="46" spans="1:202" s="31" customFormat="1" ht="30" customHeight="1" thickBot="1">
      <c r="A46" s="256" t="s">
        <v>55</v>
      </c>
      <c r="B46" s="256"/>
      <c r="C46" s="256"/>
      <c r="D46" s="256"/>
      <c r="E46" s="256"/>
      <c r="F46" s="256"/>
      <c r="G46" s="256"/>
      <c r="H46"/>
      <c r="I46"/>
      <c r="J46"/>
      <c r="K46"/>
      <c r="L46" s="89"/>
      <c r="M46" s="89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</row>
    <row r="47" spans="1:202">
      <c r="A47" s="257" t="s">
        <v>12</v>
      </c>
      <c r="B47" s="258"/>
      <c r="C47" s="259" t="s">
        <v>13</v>
      </c>
      <c r="D47" s="274"/>
      <c r="E47" s="151">
        <v>119.43877551020408</v>
      </c>
      <c r="F47" s="83"/>
      <c r="G47" s="81"/>
      <c r="H47"/>
      <c r="I47"/>
      <c r="J47"/>
      <c r="K47"/>
    </row>
    <row r="48" spans="1:202">
      <c r="A48" s="251" t="s">
        <v>14</v>
      </c>
      <c r="B48" s="252"/>
      <c r="C48" s="253" t="s">
        <v>15</v>
      </c>
      <c r="D48" s="272"/>
      <c r="E48" s="150">
        <v>119.43877551020408</v>
      </c>
      <c r="F48" s="83"/>
      <c r="G48" s="81"/>
      <c r="H48"/>
      <c r="I48"/>
      <c r="J48"/>
      <c r="K48"/>
    </row>
    <row r="49" spans="1:11">
      <c r="A49" s="251" t="s">
        <v>16</v>
      </c>
      <c r="B49" s="252"/>
      <c r="C49" s="253" t="s">
        <v>17</v>
      </c>
      <c r="D49" s="272"/>
      <c r="E49" s="150">
        <v>119.43877551020408</v>
      </c>
      <c r="F49" s="83"/>
      <c r="G49" s="81"/>
      <c r="H49"/>
      <c r="I49"/>
      <c r="J49"/>
      <c r="K49"/>
    </row>
    <row r="50" spans="1:11">
      <c r="A50" s="251" t="s">
        <v>18</v>
      </c>
      <c r="B50" s="252"/>
      <c r="C50" s="253" t="s">
        <v>19</v>
      </c>
      <c r="D50" s="272"/>
      <c r="E50" s="150">
        <v>119.43877551020408</v>
      </c>
      <c r="F50" s="83"/>
      <c r="G50" s="81"/>
      <c r="H50"/>
      <c r="I50"/>
      <c r="J50"/>
      <c r="K50"/>
    </row>
    <row r="51" spans="1:11">
      <c r="A51" s="251" t="s">
        <v>20</v>
      </c>
      <c r="B51" s="252"/>
      <c r="C51" s="253" t="s">
        <v>21</v>
      </c>
      <c r="D51" s="272"/>
      <c r="E51" s="150">
        <v>120.61224489795917</v>
      </c>
      <c r="F51" s="83"/>
      <c r="G51" s="81"/>
      <c r="H51"/>
      <c r="I51"/>
      <c r="J51"/>
      <c r="K51"/>
    </row>
    <row r="52" spans="1:11">
      <c r="A52" s="251" t="s">
        <v>22</v>
      </c>
      <c r="B52" s="252"/>
      <c r="C52" s="253" t="s">
        <v>23</v>
      </c>
      <c r="D52" s="272"/>
      <c r="E52" s="150">
        <v>120.61224489795917</v>
      </c>
      <c r="F52" s="83"/>
      <c r="G52" s="81"/>
      <c r="H52"/>
      <c r="I52"/>
      <c r="J52"/>
      <c r="K52"/>
    </row>
    <row r="53" spans="1:11">
      <c r="A53" s="251" t="s">
        <v>24</v>
      </c>
      <c r="B53" s="252"/>
      <c r="C53" s="253" t="s">
        <v>25</v>
      </c>
      <c r="D53" s="272"/>
      <c r="E53" s="150">
        <v>120.61224489795917</v>
      </c>
      <c r="F53" s="83"/>
      <c r="G53" s="81"/>
      <c r="H53"/>
      <c r="I53"/>
      <c r="J53"/>
      <c r="K53"/>
    </row>
    <row r="54" spans="1:11">
      <c r="A54" s="251" t="s">
        <v>26</v>
      </c>
      <c r="B54" s="252"/>
      <c r="C54" s="253" t="s">
        <v>27</v>
      </c>
      <c r="D54" s="272"/>
      <c r="E54" s="150">
        <v>123.87755102040818</v>
      </c>
      <c r="F54" s="83"/>
      <c r="G54" s="81"/>
      <c r="H54"/>
      <c r="I54"/>
      <c r="J54"/>
      <c r="K54"/>
    </row>
    <row r="55" spans="1:11">
      <c r="A55" s="251" t="s">
        <v>28</v>
      </c>
      <c r="B55" s="252"/>
      <c r="C55" s="253" t="s">
        <v>29</v>
      </c>
      <c r="D55" s="272"/>
      <c r="E55" s="150">
        <v>123.87755102040818</v>
      </c>
      <c r="F55" s="83"/>
      <c r="G55" s="81"/>
      <c r="H55"/>
      <c r="I55"/>
      <c r="J55"/>
      <c r="K55"/>
    </row>
    <row r="56" spans="1:11">
      <c r="A56" s="251" t="s">
        <v>30</v>
      </c>
      <c r="B56" s="252"/>
      <c r="C56" s="253" t="s">
        <v>31</v>
      </c>
      <c r="D56" s="272"/>
      <c r="E56" s="150">
        <v>123.87755102040818</v>
      </c>
      <c r="F56" s="83"/>
      <c r="G56" s="81"/>
      <c r="H56"/>
      <c r="I56"/>
      <c r="J56"/>
      <c r="K56"/>
    </row>
    <row r="57" spans="1:11">
      <c r="A57" s="251" t="s">
        <v>32</v>
      </c>
      <c r="B57" s="252"/>
      <c r="C57" s="253" t="s">
        <v>33</v>
      </c>
      <c r="D57" s="272"/>
      <c r="E57" s="150">
        <v>125.86734693877551</v>
      </c>
      <c r="F57" s="83"/>
      <c r="G57" s="81"/>
      <c r="H57"/>
      <c r="I57"/>
      <c r="J57"/>
      <c r="K57"/>
    </row>
    <row r="58" spans="1:11">
      <c r="A58" s="251" t="s">
        <v>34</v>
      </c>
      <c r="B58" s="252"/>
      <c r="C58" s="253" t="s">
        <v>35</v>
      </c>
      <c r="D58" s="272"/>
      <c r="E58" s="150">
        <v>130.5612244897959</v>
      </c>
      <c r="F58" s="83"/>
      <c r="G58" s="81"/>
      <c r="H58"/>
      <c r="I58"/>
      <c r="J58"/>
      <c r="K58"/>
    </row>
    <row r="59" spans="1:11">
      <c r="A59" s="251" t="s">
        <v>36</v>
      </c>
      <c r="B59" s="252"/>
      <c r="C59" s="253" t="s">
        <v>37</v>
      </c>
      <c r="D59" s="272"/>
      <c r="E59" s="150">
        <v>130.5612244897959</v>
      </c>
      <c r="F59" s="83"/>
      <c r="G59" s="81"/>
      <c r="H59"/>
      <c r="I59"/>
      <c r="J59"/>
      <c r="K59"/>
    </row>
    <row r="60" spans="1:11">
      <c r="A60" s="251" t="s">
        <v>52</v>
      </c>
      <c r="B60" s="252"/>
      <c r="C60" s="253" t="s">
        <v>68</v>
      </c>
      <c r="D60" s="272"/>
      <c r="E60" s="150">
        <v>158.11224489795919</v>
      </c>
      <c r="F60" s="83"/>
      <c r="G60" s="81"/>
      <c r="H60"/>
      <c r="I60"/>
      <c r="J60"/>
      <c r="K60"/>
    </row>
    <row r="61" spans="1:11">
      <c r="A61" s="254" t="s">
        <v>38</v>
      </c>
      <c r="B61" s="255"/>
      <c r="C61" s="255"/>
      <c r="D61" s="281"/>
      <c r="E61" s="79">
        <v>25.950000000000003</v>
      </c>
      <c r="F61" s="83"/>
      <c r="G61" s="81"/>
      <c r="H61"/>
      <c r="I61"/>
      <c r="J61"/>
      <c r="K61"/>
    </row>
    <row r="62" spans="1:11" ht="16" thickBot="1">
      <c r="A62" s="249" t="s">
        <v>39</v>
      </c>
      <c r="B62" s="250"/>
      <c r="C62" s="250"/>
      <c r="D62" s="282"/>
      <c r="E62" s="80">
        <v>80.050000000000011</v>
      </c>
      <c r="F62" s="83"/>
      <c r="G62" s="81"/>
      <c r="H62"/>
      <c r="I62"/>
      <c r="J62"/>
      <c r="K62"/>
    </row>
    <row r="63" spans="1:11">
      <c r="H63"/>
      <c r="I63"/>
      <c r="J63"/>
      <c r="K63"/>
    </row>
    <row r="64" spans="1:11">
      <c r="I64"/>
      <c r="J64"/>
      <c r="K64"/>
    </row>
    <row r="65" spans="9:11">
      <c r="I65"/>
      <c r="J65"/>
      <c r="K65"/>
    </row>
  </sheetData>
  <mergeCells count="90">
    <mergeCell ref="A62:D62"/>
    <mergeCell ref="A59:B59"/>
    <mergeCell ref="C59:D59"/>
    <mergeCell ref="A60:B60"/>
    <mergeCell ref="C60:D60"/>
    <mergeCell ref="A61:D61"/>
    <mergeCell ref="A56:B56"/>
    <mergeCell ref="C56:D56"/>
    <mergeCell ref="A57:B57"/>
    <mergeCell ref="C57:D57"/>
    <mergeCell ref="A58:B58"/>
    <mergeCell ref="C58:D58"/>
    <mergeCell ref="A53:B53"/>
    <mergeCell ref="C53:D53"/>
    <mergeCell ref="A54:B54"/>
    <mergeCell ref="C54:D54"/>
    <mergeCell ref="A55:B55"/>
    <mergeCell ref="C55:D55"/>
    <mergeCell ref="A50:B50"/>
    <mergeCell ref="C50:D50"/>
    <mergeCell ref="A51:B51"/>
    <mergeCell ref="C51:D51"/>
    <mergeCell ref="A52:B52"/>
    <mergeCell ref="C52:D52"/>
    <mergeCell ref="A47:B47"/>
    <mergeCell ref="C47:D47"/>
    <mergeCell ref="A48:B48"/>
    <mergeCell ref="C48:D48"/>
    <mergeCell ref="A49:B49"/>
    <mergeCell ref="C49:D49"/>
    <mergeCell ref="A44:D44"/>
    <mergeCell ref="A45:D45"/>
    <mergeCell ref="A46:G46"/>
    <mergeCell ref="A41:B41"/>
    <mergeCell ref="C41:D41"/>
    <mergeCell ref="A42:B42"/>
    <mergeCell ref="C42:D42"/>
    <mergeCell ref="A43:B43"/>
    <mergeCell ref="C43:D43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28:B28"/>
    <mergeCell ref="C28:D28"/>
    <mergeCell ref="A29:B29"/>
    <mergeCell ref="C29:D29"/>
    <mergeCell ref="A30:B30"/>
    <mergeCell ref="C30:D30"/>
    <mergeCell ref="A31:D31"/>
    <mergeCell ref="A32:D32"/>
    <mergeCell ref="A33:G33"/>
    <mergeCell ref="A34:B34"/>
    <mergeCell ref="C34:D34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16:G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1:G1"/>
    <mergeCell ref="A2:G2"/>
    <mergeCell ref="A3:G3"/>
    <mergeCell ref="A5:A11"/>
    <mergeCell ref="A15:D15"/>
  </mergeCells>
  <printOptions horizontalCentered="1"/>
  <pageMargins left="0.196850393700787" right="0.196850393700787" top="0.39370078740157499" bottom="0.59055118110236204" header="0" footer="0.196850393700787"/>
  <pageSetup scale="69" orientation="portrait" r:id="rId1"/>
  <headerFooter alignWithMargins="0">
    <oddFooter>&amp;L&amp;P
&amp;RMay 4, 2025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464A-758C-46B6-BE99-63B706D86396}">
  <sheetPr transitionEvaluation="1">
    <tabColor theme="9" tint="0.59999389629810485"/>
    <pageSetUpPr fitToPage="1"/>
  </sheetPr>
  <dimension ref="A1:GT48"/>
  <sheetViews>
    <sheetView defaultGridColor="0" view="pageBreakPreview" colorId="22" zoomScale="90" zoomScaleNormal="110" zoomScaleSheetLayoutView="90" workbookViewId="0">
      <selection activeCell="A5" sqref="A5:A11"/>
    </sheetView>
  </sheetViews>
  <sheetFormatPr defaultColWidth="9" defaultRowHeight="15.5"/>
  <cols>
    <col min="1" max="1" width="8.23046875" style="26" customWidth="1"/>
    <col min="2" max="4" width="11.84375" style="3" customWidth="1"/>
    <col min="5" max="5" width="20.69140625" style="3" customWidth="1"/>
    <col min="6" max="7" width="9.07421875" style="3" customWidth="1"/>
    <col min="8" max="8" width="8.07421875" style="89" customWidth="1"/>
    <col min="9" max="9" width="9.765625" style="89" customWidth="1"/>
    <col min="10" max="10" width="9" style="89"/>
    <col min="11" max="11" width="33.23046875" style="89" customWidth="1"/>
    <col min="12" max="13" width="9" style="89"/>
    <col min="14" max="16384" width="9" style="3"/>
  </cols>
  <sheetData>
    <row r="1" spans="1:202" ht="24" customHeight="1">
      <c r="A1" s="269" t="s">
        <v>2</v>
      </c>
      <c r="B1" s="269"/>
      <c r="C1" s="269"/>
      <c r="D1" s="269"/>
      <c r="E1" s="269"/>
      <c r="F1" s="269"/>
      <c r="G1" s="269"/>
    </row>
    <row r="2" spans="1:202" ht="21.75" customHeight="1">
      <c r="A2" s="296" t="str">
        <f>'Colonist-6 Panel'!A2</f>
        <v>NET PRICE LIST (May 4, 2025)</v>
      </c>
      <c r="B2" s="296"/>
      <c r="C2" s="296"/>
      <c r="D2" s="296"/>
      <c r="E2" s="296"/>
      <c r="F2" s="296"/>
      <c r="G2" s="296"/>
    </row>
    <row r="3" spans="1:202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</row>
    <row r="4" spans="1:202" ht="11.25" customHeight="1">
      <c r="B4" s="1"/>
      <c r="C4" s="2"/>
      <c r="D4" s="2"/>
      <c r="E4" s="2"/>
      <c r="F4" s="2"/>
      <c r="G4" s="1"/>
    </row>
    <row r="5" spans="1:202" ht="19.5" customHeight="1">
      <c r="A5" s="328" t="s">
        <v>67</v>
      </c>
      <c r="B5" s="1"/>
      <c r="C5" s="2"/>
      <c r="D5" s="2"/>
      <c r="E5" s="2"/>
      <c r="F5" s="2"/>
      <c r="G5" s="1"/>
    </row>
    <row r="6" spans="1:202" ht="15.75" customHeight="1">
      <c r="A6" s="263"/>
      <c r="B6" s="1"/>
      <c r="C6" s="2"/>
      <c r="D6" s="2"/>
      <c r="E6" s="2"/>
      <c r="F6" s="2"/>
      <c r="G6" s="1"/>
    </row>
    <row r="7" spans="1:202" ht="15.75" customHeight="1">
      <c r="A7" s="263"/>
      <c r="B7" s="1"/>
      <c r="C7" s="2"/>
      <c r="D7" s="2"/>
      <c r="E7" s="2"/>
      <c r="F7" s="2"/>
      <c r="G7" s="1"/>
    </row>
    <row r="8" spans="1:202" ht="20.25" customHeight="1">
      <c r="A8" s="263"/>
      <c r="B8" s="1"/>
      <c r="C8" s="2"/>
      <c r="D8" s="2"/>
      <c r="E8" s="2"/>
      <c r="F8" s="2"/>
      <c r="G8" s="1"/>
    </row>
    <row r="9" spans="1:202" ht="20.25" customHeight="1">
      <c r="A9" s="263"/>
      <c r="B9" s="1"/>
      <c r="C9" s="2"/>
      <c r="D9" s="2"/>
      <c r="E9" s="2"/>
      <c r="F9" s="2"/>
      <c r="G9" s="1"/>
    </row>
    <row r="10" spans="1:202" ht="9" customHeight="1">
      <c r="A10" s="263"/>
      <c r="B10" s="1"/>
      <c r="C10" s="2"/>
      <c r="D10" s="2"/>
      <c r="E10" s="2"/>
      <c r="F10" s="2"/>
      <c r="G10" s="1"/>
    </row>
    <row r="11" spans="1:202" ht="15.75" customHeight="1" thickBot="1">
      <c r="A11" s="263"/>
      <c r="B11" s="1"/>
      <c r="C11" s="2"/>
      <c r="D11" s="2"/>
      <c r="E11" s="2"/>
      <c r="F11" s="2"/>
      <c r="G11" s="1"/>
    </row>
    <row r="12" spans="1:202" ht="16.5" thickTop="1" thickBot="1">
      <c r="A12" s="21" t="s">
        <v>6</v>
      </c>
      <c r="B12" s="19" t="s">
        <v>7</v>
      </c>
      <c r="C12" s="24"/>
      <c r="D12" s="13"/>
      <c r="E12" s="8"/>
      <c r="F12" s="9"/>
      <c r="G12" s="10"/>
    </row>
    <row r="13" spans="1:202" ht="24.75" customHeight="1" thickTop="1" thickBot="1">
      <c r="A13" s="21" t="s">
        <v>8</v>
      </c>
      <c r="B13" s="19" t="s">
        <v>7</v>
      </c>
      <c r="C13" s="24"/>
      <c r="D13" s="13"/>
      <c r="E13" s="8"/>
      <c r="F13" s="9"/>
      <c r="G13" s="10"/>
      <c r="H13" s="91"/>
      <c r="I13" s="91" t="s">
        <v>139</v>
      </c>
      <c r="J13" s="91" t="s">
        <v>140</v>
      </c>
      <c r="K13" s="233" t="s">
        <v>143</v>
      </c>
    </row>
    <row r="14" spans="1:202" ht="13.5" customHeight="1" thickTop="1" thickBot="1">
      <c r="B14" s="10"/>
      <c r="C14" s="10"/>
      <c r="D14" s="10"/>
      <c r="E14" s="10"/>
      <c r="F14" s="10"/>
      <c r="G14" s="11"/>
      <c r="H14" s="91" t="s">
        <v>141</v>
      </c>
      <c r="I14" s="91">
        <v>62</v>
      </c>
      <c r="J14" s="232">
        <v>0.06</v>
      </c>
      <c r="K14" s="91">
        <f>ROUNDUP(I14*(1+J14),0)</f>
        <v>66</v>
      </c>
    </row>
    <row r="15" spans="1:202" ht="25.5" customHeight="1" thickTop="1" thickBot="1">
      <c r="A15" s="264" t="s">
        <v>9</v>
      </c>
      <c r="B15" s="265"/>
      <c r="C15" s="265"/>
      <c r="D15" s="266"/>
      <c r="E15" s="126" t="str">
        <f>'Colonist-6 Panel'!E16</f>
        <v>Net Price</v>
      </c>
      <c r="F15" s="125"/>
      <c r="G15" s="129"/>
      <c r="H15" s="91" t="s">
        <v>142</v>
      </c>
      <c r="I15" s="91">
        <v>75</v>
      </c>
      <c r="J15" s="232">
        <v>0.06</v>
      </c>
      <c r="K15" s="91">
        <f>ROUNDUP(I15*(1+J15),0)</f>
        <v>80</v>
      </c>
      <c r="L15" s="91"/>
      <c r="M15" s="9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</row>
    <row r="16" spans="1:202" ht="30" customHeight="1" thickTop="1" thickBot="1">
      <c r="A16" s="256" t="s">
        <v>57</v>
      </c>
      <c r="B16" s="256"/>
      <c r="C16" s="256"/>
      <c r="D16" s="256"/>
      <c r="E16" s="256"/>
      <c r="F16" s="256"/>
      <c r="G16" s="256"/>
      <c r="H16" s="91"/>
      <c r="I16" s="91"/>
      <c r="J16" s="91"/>
      <c r="K16" s="91"/>
      <c r="L16" s="91"/>
      <c r="M16" s="9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</row>
    <row r="17" spans="1:202">
      <c r="A17" s="257" t="s">
        <v>12</v>
      </c>
      <c r="B17" s="258"/>
      <c r="C17" s="259" t="s">
        <v>13</v>
      </c>
      <c r="D17" s="274"/>
      <c r="E17" s="78">
        <f t="shared" ref="E17:E29" si="0">J17</f>
        <v>116.20408163265307</v>
      </c>
      <c r="F17" s="83"/>
      <c r="G17" s="81"/>
      <c r="H17" s="91">
        <f>'Primed Hardboard'!E17</f>
        <v>50.204081632653065</v>
      </c>
      <c r="I17" s="91">
        <v>66</v>
      </c>
      <c r="J17" s="147">
        <f>H17+I17</f>
        <v>116.20408163265307</v>
      </c>
      <c r="K17" s="101"/>
      <c r="L17" s="101"/>
      <c r="M17" s="91"/>
      <c r="N17" s="99"/>
      <c r="O17" s="99"/>
      <c r="P17" s="99"/>
      <c r="Q17" s="99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</row>
    <row r="18" spans="1:202">
      <c r="A18" s="251" t="s">
        <v>14</v>
      </c>
      <c r="B18" s="252"/>
      <c r="C18" s="253" t="s">
        <v>15</v>
      </c>
      <c r="D18" s="272"/>
      <c r="E18" s="79">
        <f t="shared" si="0"/>
        <v>116.20408163265307</v>
      </c>
      <c r="F18" s="83"/>
      <c r="G18" s="81"/>
      <c r="H18" s="91">
        <f>'Primed Hardboard'!E18</f>
        <v>50.204081632653065</v>
      </c>
      <c r="I18" s="91">
        <v>66</v>
      </c>
      <c r="J18" s="147">
        <f t="shared" ref="J18:J29" si="1">H18+I18</f>
        <v>116.20408163265307</v>
      </c>
      <c r="K18" s="101"/>
      <c r="L18" s="101"/>
      <c r="M18" s="91"/>
      <c r="N18" s="99"/>
      <c r="O18" s="99"/>
      <c r="P18" s="99"/>
      <c r="Q18" s="99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</row>
    <row r="19" spans="1:202">
      <c r="A19" s="251" t="s">
        <v>16</v>
      </c>
      <c r="B19" s="252"/>
      <c r="C19" s="253" t="s">
        <v>17</v>
      </c>
      <c r="D19" s="272"/>
      <c r="E19" s="79">
        <f t="shared" si="0"/>
        <v>116.20408163265307</v>
      </c>
      <c r="F19" s="83"/>
      <c r="G19" s="81"/>
      <c r="H19" s="91">
        <f>'Primed Hardboard'!E19</f>
        <v>50.204081632653065</v>
      </c>
      <c r="I19" s="91">
        <v>66</v>
      </c>
      <c r="J19" s="147">
        <f t="shared" si="1"/>
        <v>116.20408163265307</v>
      </c>
      <c r="K19" s="101"/>
      <c r="L19" s="101"/>
      <c r="M19" s="91"/>
      <c r="N19" s="99"/>
      <c r="O19" s="99"/>
      <c r="P19" s="99"/>
      <c r="Q19" s="99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</row>
    <row r="20" spans="1:202">
      <c r="A20" s="251" t="s">
        <v>18</v>
      </c>
      <c r="B20" s="252"/>
      <c r="C20" s="253" t="s">
        <v>19</v>
      </c>
      <c r="D20" s="272"/>
      <c r="E20" s="79">
        <f t="shared" si="0"/>
        <v>116.20408163265307</v>
      </c>
      <c r="F20" s="83"/>
      <c r="G20" s="81"/>
      <c r="H20" s="91">
        <f>'Primed Hardboard'!E20</f>
        <v>50.204081632653065</v>
      </c>
      <c r="I20" s="91">
        <v>66</v>
      </c>
      <c r="J20" s="147">
        <f t="shared" si="1"/>
        <v>116.20408163265307</v>
      </c>
      <c r="K20" s="101"/>
      <c r="L20" s="101"/>
      <c r="M20" s="91"/>
      <c r="N20" s="99"/>
      <c r="O20" s="99"/>
      <c r="P20" s="99"/>
      <c r="Q20" s="99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</row>
    <row r="21" spans="1:202">
      <c r="A21" s="251" t="s">
        <v>20</v>
      </c>
      <c r="B21" s="252"/>
      <c r="C21" s="253" t="s">
        <v>21</v>
      </c>
      <c r="D21" s="272"/>
      <c r="E21" s="79">
        <f t="shared" si="0"/>
        <v>117.37755102040816</v>
      </c>
      <c r="F21" s="83"/>
      <c r="G21" s="81"/>
      <c r="H21" s="91">
        <f>'Primed Hardboard'!E21</f>
        <v>51.377551020408163</v>
      </c>
      <c r="I21" s="91">
        <v>66</v>
      </c>
      <c r="J21" s="147">
        <f t="shared" si="1"/>
        <v>117.37755102040816</v>
      </c>
      <c r="K21" s="101"/>
      <c r="L21" s="101"/>
      <c r="M21" s="91"/>
      <c r="N21" s="99"/>
      <c r="O21" s="99"/>
      <c r="P21" s="99"/>
      <c r="Q21" s="99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</row>
    <row r="22" spans="1:202">
      <c r="A22" s="251" t="s">
        <v>22</v>
      </c>
      <c r="B22" s="252"/>
      <c r="C22" s="253" t="s">
        <v>23</v>
      </c>
      <c r="D22" s="272"/>
      <c r="E22" s="79">
        <f t="shared" si="0"/>
        <v>117.37755102040816</v>
      </c>
      <c r="F22" s="83"/>
      <c r="G22" s="81"/>
      <c r="H22" s="91">
        <f>'Primed Hardboard'!E22</f>
        <v>51.377551020408163</v>
      </c>
      <c r="I22" s="91">
        <v>66</v>
      </c>
      <c r="J22" s="147">
        <f t="shared" si="1"/>
        <v>117.37755102040816</v>
      </c>
      <c r="K22" s="101"/>
      <c r="L22" s="101"/>
      <c r="M22" s="91"/>
      <c r="N22" s="99"/>
      <c r="O22" s="99"/>
      <c r="P22" s="99"/>
      <c r="Q22" s="99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</row>
    <row r="23" spans="1:202">
      <c r="A23" s="251" t="s">
        <v>24</v>
      </c>
      <c r="B23" s="252"/>
      <c r="C23" s="253" t="s">
        <v>25</v>
      </c>
      <c r="D23" s="272"/>
      <c r="E23" s="79">
        <f t="shared" si="0"/>
        <v>117.37755102040816</v>
      </c>
      <c r="F23" s="83"/>
      <c r="G23" s="81"/>
      <c r="H23" s="91">
        <f>'Primed Hardboard'!E23</f>
        <v>51.377551020408163</v>
      </c>
      <c r="I23" s="91">
        <v>66</v>
      </c>
      <c r="J23" s="147">
        <f t="shared" si="1"/>
        <v>117.37755102040816</v>
      </c>
      <c r="K23" s="101"/>
      <c r="L23" s="101"/>
      <c r="M23" s="91"/>
      <c r="N23" s="99"/>
      <c r="O23" s="99"/>
      <c r="P23" s="99"/>
      <c r="Q23" s="99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</row>
    <row r="24" spans="1:202" s="30" customFormat="1">
      <c r="A24" s="251" t="s">
        <v>26</v>
      </c>
      <c r="B24" s="252"/>
      <c r="C24" s="253" t="s">
        <v>27</v>
      </c>
      <c r="D24" s="272"/>
      <c r="E24" s="79">
        <f t="shared" si="0"/>
        <v>120.64285714285714</v>
      </c>
      <c r="F24" s="83"/>
      <c r="G24" s="81"/>
      <c r="H24" s="91">
        <f>'Primed Hardboard'!E24</f>
        <v>54.642857142857146</v>
      </c>
      <c r="I24" s="91">
        <v>66</v>
      </c>
      <c r="J24" s="147">
        <f t="shared" si="1"/>
        <v>120.64285714285714</v>
      </c>
      <c r="K24" s="101"/>
      <c r="L24" s="101"/>
      <c r="M24" s="91"/>
      <c r="N24" s="99"/>
      <c r="O24" s="99"/>
      <c r="P24" s="99"/>
      <c r="Q24" s="9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</row>
    <row r="25" spans="1:202" s="30" customFormat="1">
      <c r="A25" s="251" t="s">
        <v>28</v>
      </c>
      <c r="B25" s="252"/>
      <c r="C25" s="253" t="s">
        <v>29</v>
      </c>
      <c r="D25" s="272"/>
      <c r="E25" s="79">
        <f t="shared" si="0"/>
        <v>120.64285714285714</v>
      </c>
      <c r="F25" s="83"/>
      <c r="G25" s="81"/>
      <c r="H25" s="91">
        <f>'Primed Hardboard'!E25</f>
        <v>54.642857142857146</v>
      </c>
      <c r="I25" s="91">
        <v>66</v>
      </c>
      <c r="J25" s="147">
        <f t="shared" si="1"/>
        <v>120.64285714285714</v>
      </c>
      <c r="K25" s="101"/>
      <c r="L25" s="101"/>
      <c r="M25" s="91"/>
      <c r="N25" s="99"/>
      <c r="O25" s="99"/>
      <c r="P25" s="99"/>
      <c r="Q25" s="9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</row>
    <row r="26" spans="1:202" ht="15.75" customHeight="1">
      <c r="A26" s="251" t="s">
        <v>30</v>
      </c>
      <c r="B26" s="252"/>
      <c r="C26" s="253" t="s">
        <v>31</v>
      </c>
      <c r="D26" s="272"/>
      <c r="E26" s="79">
        <f t="shared" si="0"/>
        <v>120.64285714285714</v>
      </c>
      <c r="F26" s="83"/>
      <c r="G26" s="81"/>
      <c r="H26" s="91">
        <f>'Primed Hardboard'!E26</f>
        <v>54.642857142857146</v>
      </c>
      <c r="I26" s="91">
        <v>66</v>
      </c>
      <c r="J26" s="147">
        <f t="shared" si="1"/>
        <v>120.64285714285714</v>
      </c>
      <c r="K26" s="101"/>
      <c r="L26" s="101"/>
      <c r="M26" s="91"/>
      <c r="N26" s="99"/>
      <c r="O26" s="99"/>
      <c r="P26" s="99"/>
      <c r="Q26" s="99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</row>
    <row r="27" spans="1:202">
      <c r="A27" s="251" t="s">
        <v>32</v>
      </c>
      <c r="B27" s="252"/>
      <c r="C27" s="253" t="s">
        <v>33</v>
      </c>
      <c r="D27" s="272"/>
      <c r="E27" s="79">
        <f t="shared" si="0"/>
        <v>122.63265306122449</v>
      </c>
      <c r="F27" s="83"/>
      <c r="G27" s="81"/>
      <c r="H27" s="91">
        <f>'Primed Hardboard'!E27</f>
        <v>56.632653061224488</v>
      </c>
      <c r="I27" s="91">
        <v>66</v>
      </c>
      <c r="J27" s="147">
        <f t="shared" si="1"/>
        <v>122.63265306122449</v>
      </c>
      <c r="K27" s="101"/>
      <c r="L27" s="101"/>
      <c r="M27" s="91"/>
      <c r="N27" s="99"/>
      <c r="O27" s="99"/>
      <c r="P27" s="99"/>
      <c r="Q27" s="99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</row>
    <row r="28" spans="1:202">
      <c r="A28" s="251" t="s">
        <v>34</v>
      </c>
      <c r="B28" s="252"/>
      <c r="C28" s="253" t="s">
        <v>35</v>
      </c>
      <c r="D28" s="272"/>
      <c r="E28" s="79">
        <f t="shared" si="0"/>
        <v>127.32653061224491</v>
      </c>
      <c r="F28" s="83"/>
      <c r="G28" s="81"/>
      <c r="H28" s="91">
        <f>'Primed Hardboard'!E28</f>
        <v>61.326530612244902</v>
      </c>
      <c r="I28" s="91">
        <v>66</v>
      </c>
      <c r="J28" s="147">
        <f t="shared" si="1"/>
        <v>127.32653061224491</v>
      </c>
      <c r="K28" s="101"/>
      <c r="L28" s="101"/>
      <c r="N28" s="99"/>
      <c r="O28" s="99"/>
      <c r="P28" s="99"/>
      <c r="Q28" s="99"/>
    </row>
    <row r="29" spans="1:202" ht="16.149999999999999" customHeight="1">
      <c r="A29" s="251" t="s">
        <v>36</v>
      </c>
      <c r="B29" s="252"/>
      <c r="C29" s="253" t="s">
        <v>37</v>
      </c>
      <c r="D29" s="272"/>
      <c r="E29" s="79">
        <f t="shared" si="0"/>
        <v>127.32653061224491</v>
      </c>
      <c r="F29" s="83"/>
      <c r="G29" s="81"/>
      <c r="H29" s="91">
        <f>'Primed Hardboard'!E29</f>
        <v>61.326530612244902</v>
      </c>
      <c r="I29" s="91">
        <v>66</v>
      </c>
      <c r="J29" s="147">
        <f t="shared" si="1"/>
        <v>127.32653061224491</v>
      </c>
      <c r="K29" s="101"/>
      <c r="L29" s="101"/>
      <c r="N29" s="99"/>
      <c r="O29" s="99"/>
      <c r="P29" s="99"/>
      <c r="Q29" s="99"/>
    </row>
    <row r="30" spans="1:202" ht="16.149999999999999" customHeight="1">
      <c r="A30" s="254" t="s">
        <v>38</v>
      </c>
      <c r="B30" s="255"/>
      <c r="C30" s="255"/>
      <c r="D30" s="281"/>
      <c r="E30" s="79">
        <f>J30</f>
        <v>35.700000000000003</v>
      </c>
      <c r="F30" s="83"/>
      <c r="G30" s="81"/>
      <c r="I30" s="91"/>
      <c r="J30" s="147">
        <v>35.700000000000003</v>
      </c>
      <c r="K30" s="101"/>
      <c r="L30" s="101"/>
      <c r="N30" s="99"/>
      <c r="O30" s="99"/>
      <c r="P30" s="99"/>
      <c r="Q30" s="99"/>
    </row>
    <row r="31" spans="1:202" ht="16.149999999999999" customHeight="1" thickBot="1">
      <c r="A31" s="249" t="s">
        <v>39</v>
      </c>
      <c r="B31" s="250"/>
      <c r="C31" s="250"/>
      <c r="D31" s="282"/>
      <c r="E31" s="80">
        <f>J31</f>
        <v>83.25</v>
      </c>
      <c r="F31" s="83"/>
      <c r="G31" s="81"/>
      <c r="I31" s="91"/>
      <c r="J31" s="147">
        <v>83.25</v>
      </c>
      <c r="K31" s="101"/>
      <c r="L31" s="101"/>
      <c r="N31" s="99"/>
      <c r="O31" s="99"/>
      <c r="P31" s="99"/>
      <c r="Q31" s="99"/>
    </row>
    <row r="32" spans="1:202" s="31" customFormat="1" ht="30.75" customHeight="1" thickBot="1">
      <c r="A32" s="256" t="s">
        <v>58</v>
      </c>
      <c r="B32" s="256"/>
      <c r="C32" s="256"/>
      <c r="D32" s="256"/>
      <c r="E32" s="256"/>
      <c r="F32" s="256"/>
      <c r="G32" s="256"/>
      <c r="H32" s="89"/>
      <c r="I32" s="91"/>
      <c r="J32" s="147"/>
      <c r="K32" s="101"/>
      <c r="L32" s="101"/>
      <c r="M32" s="89"/>
      <c r="N32" s="99"/>
      <c r="O32" s="99"/>
      <c r="P32" s="99"/>
      <c r="Q32" s="99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</row>
    <row r="33" spans="1:202" s="31" customFormat="1" ht="15" customHeight="1">
      <c r="A33" s="257" t="s">
        <v>12</v>
      </c>
      <c r="B33" s="258"/>
      <c r="C33" s="259" t="s">
        <v>13</v>
      </c>
      <c r="D33" s="274"/>
      <c r="E33" s="78">
        <f t="shared" ref="E33:E47" si="2">J33</f>
        <v>130.20408163265307</v>
      </c>
      <c r="F33" s="83"/>
      <c r="G33" s="81"/>
      <c r="H33" s="89">
        <f>H17</f>
        <v>50.204081632653065</v>
      </c>
      <c r="I33" s="91">
        <v>80</v>
      </c>
      <c r="J33" s="147">
        <f>H33+I33</f>
        <v>130.20408163265307</v>
      </c>
      <c r="K33" s="101"/>
      <c r="L33" s="101"/>
      <c r="M33" s="89"/>
      <c r="N33" s="99"/>
      <c r="O33" s="99"/>
      <c r="P33" s="99"/>
      <c r="Q33" s="99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</row>
    <row r="34" spans="1:202" s="31" customFormat="1" ht="15" customHeight="1">
      <c r="A34" s="251" t="s">
        <v>14</v>
      </c>
      <c r="B34" s="252"/>
      <c r="C34" s="253" t="s">
        <v>15</v>
      </c>
      <c r="D34" s="272"/>
      <c r="E34" s="79">
        <f t="shared" si="2"/>
        <v>130.20408163265307</v>
      </c>
      <c r="F34" s="83"/>
      <c r="G34" s="81"/>
      <c r="H34" s="89">
        <f t="shared" ref="H34:H45" si="3">H18</f>
        <v>50.204081632653065</v>
      </c>
      <c r="I34" s="91">
        <v>80</v>
      </c>
      <c r="J34" s="147">
        <f t="shared" ref="J34:J45" si="4">H34+I34</f>
        <v>130.20408163265307</v>
      </c>
      <c r="K34" s="101"/>
      <c r="L34" s="101"/>
      <c r="M34" s="89"/>
      <c r="N34" s="99"/>
      <c r="O34" s="99"/>
      <c r="P34" s="99"/>
      <c r="Q34" s="99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</row>
    <row r="35" spans="1:202" s="31" customFormat="1" ht="15" customHeight="1">
      <c r="A35" s="251" t="s">
        <v>16</v>
      </c>
      <c r="B35" s="252"/>
      <c r="C35" s="253" t="s">
        <v>17</v>
      </c>
      <c r="D35" s="272"/>
      <c r="E35" s="79">
        <f t="shared" si="2"/>
        <v>130.20408163265307</v>
      </c>
      <c r="F35" s="83"/>
      <c r="G35" s="81"/>
      <c r="H35" s="89">
        <f t="shared" si="3"/>
        <v>50.204081632653065</v>
      </c>
      <c r="I35" s="91">
        <v>80</v>
      </c>
      <c r="J35" s="147">
        <f t="shared" si="4"/>
        <v>130.20408163265307</v>
      </c>
      <c r="K35" s="101"/>
      <c r="L35" s="101"/>
      <c r="M35" s="89"/>
      <c r="N35" s="99"/>
      <c r="O35" s="99"/>
      <c r="P35" s="99"/>
      <c r="Q35" s="99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</row>
    <row r="36" spans="1:202" s="31" customFormat="1" ht="15" customHeight="1">
      <c r="A36" s="251" t="s">
        <v>18</v>
      </c>
      <c r="B36" s="252"/>
      <c r="C36" s="253" t="s">
        <v>19</v>
      </c>
      <c r="D36" s="272"/>
      <c r="E36" s="79">
        <f t="shared" si="2"/>
        <v>130.20408163265307</v>
      </c>
      <c r="F36" s="83"/>
      <c r="G36" s="81"/>
      <c r="H36" s="89">
        <f t="shared" si="3"/>
        <v>50.204081632653065</v>
      </c>
      <c r="I36" s="91">
        <v>80</v>
      </c>
      <c r="J36" s="147">
        <f t="shared" si="4"/>
        <v>130.20408163265307</v>
      </c>
      <c r="K36" s="101"/>
      <c r="L36" s="101"/>
      <c r="M36" s="89"/>
      <c r="N36" s="99"/>
      <c r="O36" s="99"/>
      <c r="P36" s="99"/>
      <c r="Q36" s="99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</row>
    <row r="37" spans="1:202" s="31" customFormat="1" ht="15" customHeight="1">
      <c r="A37" s="251" t="s">
        <v>20</v>
      </c>
      <c r="B37" s="252"/>
      <c r="C37" s="253" t="s">
        <v>21</v>
      </c>
      <c r="D37" s="272"/>
      <c r="E37" s="79">
        <f t="shared" si="2"/>
        <v>131.37755102040816</v>
      </c>
      <c r="F37" s="83"/>
      <c r="G37" s="81"/>
      <c r="H37" s="89">
        <f t="shared" si="3"/>
        <v>51.377551020408163</v>
      </c>
      <c r="I37" s="91">
        <v>80</v>
      </c>
      <c r="J37" s="147">
        <f t="shared" si="4"/>
        <v>131.37755102040816</v>
      </c>
      <c r="K37" s="101"/>
      <c r="L37" s="101"/>
      <c r="M37" s="89"/>
      <c r="N37" s="99"/>
      <c r="O37" s="99"/>
      <c r="P37" s="99"/>
      <c r="Q37" s="99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</row>
    <row r="38" spans="1:202" s="31" customFormat="1" ht="15" customHeight="1">
      <c r="A38" s="251" t="s">
        <v>22</v>
      </c>
      <c r="B38" s="252"/>
      <c r="C38" s="253" t="s">
        <v>23</v>
      </c>
      <c r="D38" s="272"/>
      <c r="E38" s="79">
        <f t="shared" si="2"/>
        <v>131.37755102040816</v>
      </c>
      <c r="F38" s="83"/>
      <c r="G38" s="81"/>
      <c r="H38" s="89">
        <f t="shared" si="3"/>
        <v>51.377551020408163</v>
      </c>
      <c r="I38" s="91">
        <v>80</v>
      </c>
      <c r="J38" s="147">
        <f t="shared" si="4"/>
        <v>131.37755102040816</v>
      </c>
      <c r="K38" s="101"/>
      <c r="L38" s="101"/>
      <c r="M38" s="89"/>
      <c r="N38" s="99"/>
      <c r="O38" s="99"/>
      <c r="P38" s="99"/>
      <c r="Q38" s="99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</row>
    <row r="39" spans="1:202" s="31" customFormat="1" ht="15" customHeight="1">
      <c r="A39" s="251" t="s">
        <v>24</v>
      </c>
      <c r="B39" s="252"/>
      <c r="C39" s="253" t="s">
        <v>25</v>
      </c>
      <c r="D39" s="272"/>
      <c r="E39" s="79">
        <f t="shared" si="2"/>
        <v>131.37755102040816</v>
      </c>
      <c r="F39" s="83"/>
      <c r="G39" s="81"/>
      <c r="H39" s="89">
        <f t="shared" si="3"/>
        <v>51.377551020408163</v>
      </c>
      <c r="I39" s="91">
        <v>80</v>
      </c>
      <c r="J39" s="147">
        <f t="shared" si="4"/>
        <v>131.37755102040816</v>
      </c>
      <c r="K39" s="101"/>
      <c r="L39" s="101"/>
      <c r="M39" s="89"/>
      <c r="N39" s="99"/>
      <c r="O39" s="99"/>
      <c r="P39" s="99"/>
      <c r="Q39" s="99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</row>
    <row r="40" spans="1:202" s="31" customFormat="1" ht="15" customHeight="1">
      <c r="A40" s="251" t="s">
        <v>26</v>
      </c>
      <c r="B40" s="252"/>
      <c r="C40" s="253" t="s">
        <v>27</v>
      </c>
      <c r="D40" s="272"/>
      <c r="E40" s="79">
        <f t="shared" si="2"/>
        <v>134.64285714285714</v>
      </c>
      <c r="F40" s="83"/>
      <c r="G40" s="81"/>
      <c r="H40" s="89">
        <f t="shared" si="3"/>
        <v>54.642857142857146</v>
      </c>
      <c r="I40" s="91">
        <v>80</v>
      </c>
      <c r="J40" s="147">
        <f t="shared" si="4"/>
        <v>134.64285714285714</v>
      </c>
      <c r="K40" s="101"/>
      <c r="L40" s="101"/>
      <c r="M40" s="89"/>
      <c r="N40" s="99"/>
      <c r="O40" s="99"/>
      <c r="P40" s="99"/>
      <c r="Q40" s="99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</row>
    <row r="41" spans="1:202" s="31" customFormat="1" ht="15" customHeight="1">
      <c r="A41" s="251" t="s">
        <v>28</v>
      </c>
      <c r="B41" s="252"/>
      <c r="C41" s="253" t="s">
        <v>29</v>
      </c>
      <c r="D41" s="272"/>
      <c r="E41" s="79">
        <f t="shared" si="2"/>
        <v>134.64285714285714</v>
      </c>
      <c r="F41" s="83"/>
      <c r="G41" s="81"/>
      <c r="H41" s="89">
        <f t="shared" si="3"/>
        <v>54.642857142857146</v>
      </c>
      <c r="I41" s="91">
        <v>80</v>
      </c>
      <c r="J41" s="147">
        <f t="shared" si="4"/>
        <v>134.64285714285714</v>
      </c>
      <c r="K41" s="101"/>
      <c r="L41" s="101"/>
      <c r="M41" s="89"/>
      <c r="N41" s="99"/>
      <c r="O41" s="99"/>
      <c r="P41" s="99"/>
      <c r="Q41" s="99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</row>
    <row r="42" spans="1:202" s="31" customFormat="1">
      <c r="A42" s="251" t="s">
        <v>30</v>
      </c>
      <c r="B42" s="252"/>
      <c r="C42" s="253" t="s">
        <v>31</v>
      </c>
      <c r="D42" s="272"/>
      <c r="E42" s="79">
        <f t="shared" si="2"/>
        <v>134.64285714285714</v>
      </c>
      <c r="F42" s="83"/>
      <c r="G42" s="81"/>
      <c r="H42" s="89">
        <f t="shared" si="3"/>
        <v>54.642857142857146</v>
      </c>
      <c r="I42" s="91">
        <v>80</v>
      </c>
      <c r="J42" s="147">
        <f t="shared" si="4"/>
        <v>134.64285714285714</v>
      </c>
      <c r="K42" s="101"/>
      <c r="L42" s="101"/>
      <c r="M42" s="89"/>
      <c r="N42" s="99"/>
      <c r="O42" s="99"/>
      <c r="P42" s="99"/>
      <c r="Q42" s="99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</row>
    <row r="43" spans="1:202" s="31" customFormat="1">
      <c r="A43" s="251" t="s">
        <v>32</v>
      </c>
      <c r="B43" s="252"/>
      <c r="C43" s="253" t="s">
        <v>33</v>
      </c>
      <c r="D43" s="272"/>
      <c r="E43" s="79">
        <f t="shared" si="2"/>
        <v>136.63265306122449</v>
      </c>
      <c r="F43" s="83"/>
      <c r="G43" s="81"/>
      <c r="H43" s="89">
        <f t="shared" si="3"/>
        <v>56.632653061224488</v>
      </c>
      <c r="I43" s="91">
        <v>80</v>
      </c>
      <c r="J43" s="147">
        <f t="shared" si="4"/>
        <v>136.63265306122449</v>
      </c>
      <c r="K43" s="101"/>
      <c r="L43" s="101"/>
      <c r="M43" s="89"/>
      <c r="N43" s="99"/>
      <c r="O43" s="99"/>
      <c r="P43" s="99"/>
      <c r="Q43" s="99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</row>
    <row r="44" spans="1:202" s="31" customFormat="1">
      <c r="A44" s="251" t="s">
        <v>34</v>
      </c>
      <c r="B44" s="252"/>
      <c r="C44" s="253" t="s">
        <v>35</v>
      </c>
      <c r="D44" s="272"/>
      <c r="E44" s="79">
        <f t="shared" si="2"/>
        <v>141.32653061224491</v>
      </c>
      <c r="F44" s="83"/>
      <c r="G44" s="81"/>
      <c r="H44" s="89">
        <f t="shared" si="3"/>
        <v>61.326530612244902</v>
      </c>
      <c r="I44" s="91">
        <v>80</v>
      </c>
      <c r="J44" s="147">
        <f t="shared" si="4"/>
        <v>141.32653061224491</v>
      </c>
      <c r="K44" s="101"/>
      <c r="L44" s="101"/>
      <c r="M44" s="89"/>
      <c r="N44" s="99"/>
      <c r="O44" s="99"/>
      <c r="P44" s="99"/>
      <c r="Q44" s="99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</row>
    <row r="45" spans="1:202" s="31" customFormat="1" ht="16.149999999999999" customHeight="1">
      <c r="A45" s="251" t="s">
        <v>36</v>
      </c>
      <c r="B45" s="252"/>
      <c r="C45" s="253" t="s">
        <v>37</v>
      </c>
      <c r="D45" s="272"/>
      <c r="E45" s="79">
        <f t="shared" si="2"/>
        <v>141.32653061224491</v>
      </c>
      <c r="F45" s="83"/>
      <c r="G45" s="81"/>
      <c r="H45" s="89">
        <f t="shared" si="3"/>
        <v>61.326530612244902</v>
      </c>
      <c r="I45" s="91">
        <v>80</v>
      </c>
      <c r="J45" s="147">
        <f t="shared" si="4"/>
        <v>141.32653061224491</v>
      </c>
      <c r="K45" s="101"/>
      <c r="L45" s="101"/>
      <c r="M45" s="89"/>
      <c r="N45" s="99"/>
      <c r="O45" s="99"/>
      <c r="P45" s="99"/>
      <c r="Q45" s="99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</row>
    <row r="46" spans="1:202" s="31" customFormat="1" ht="16.149999999999999" customHeight="1">
      <c r="A46" s="254" t="s">
        <v>38</v>
      </c>
      <c r="B46" s="255"/>
      <c r="C46" s="255"/>
      <c r="D46" s="281"/>
      <c r="E46" s="79">
        <f t="shared" si="2"/>
        <v>35.700000000000003</v>
      </c>
      <c r="F46" s="83"/>
      <c r="G46" s="81"/>
      <c r="H46" s="89"/>
      <c r="I46" s="91"/>
      <c r="J46" s="147">
        <v>35.700000000000003</v>
      </c>
      <c r="K46" s="101"/>
      <c r="L46" s="101"/>
      <c r="M46" s="89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</row>
    <row r="47" spans="1:202" s="31" customFormat="1" ht="16.149999999999999" customHeight="1" thickBot="1">
      <c r="A47" s="249" t="s">
        <v>39</v>
      </c>
      <c r="B47" s="250"/>
      <c r="C47" s="250"/>
      <c r="D47" s="282"/>
      <c r="E47" s="80">
        <f t="shared" si="2"/>
        <v>83.25</v>
      </c>
      <c r="F47" s="83"/>
      <c r="G47" s="81"/>
      <c r="H47" s="89"/>
      <c r="I47" s="91"/>
      <c r="J47" s="147">
        <v>83.25</v>
      </c>
      <c r="K47" s="101"/>
      <c r="L47" s="101"/>
      <c r="M47" s="89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</row>
    <row r="48" spans="1:202" s="31" customFormat="1" ht="30" customHeight="1">
      <c r="A48" s="256"/>
      <c r="B48" s="256"/>
      <c r="C48" s="256"/>
      <c r="D48" s="256"/>
      <c r="E48" s="256"/>
      <c r="F48" s="256"/>
      <c r="G48" s="256"/>
      <c r="H48" s="89"/>
      <c r="I48" s="89"/>
      <c r="J48" s="89"/>
      <c r="K48" s="89"/>
      <c r="L48" s="89"/>
      <c r="M48" s="8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</row>
  </sheetData>
  <mergeCells count="64">
    <mergeCell ref="A46:D46"/>
    <mergeCell ref="A47:D47"/>
    <mergeCell ref="A48:G48"/>
    <mergeCell ref="A44:B44"/>
    <mergeCell ref="C44:D44"/>
    <mergeCell ref="A45:B45"/>
    <mergeCell ref="C45:D45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31:D31"/>
    <mergeCell ref="A32:G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D30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1:G1"/>
    <mergeCell ref="A2:G2"/>
    <mergeCell ref="A3:G3"/>
    <mergeCell ref="A5:A11"/>
    <mergeCell ref="A15:D15"/>
    <mergeCell ref="A16:G16"/>
    <mergeCell ref="A17:B17"/>
    <mergeCell ref="C17:D17"/>
    <mergeCell ref="A18:B18"/>
    <mergeCell ref="C18:D18"/>
  </mergeCells>
  <phoneticPr fontId="54" type="noConversion"/>
  <printOptions horizontalCentered="1"/>
  <pageMargins left="0.196850393700787" right="0.196850393700787" top="0.39370078740157499" bottom="0.59055118110236204" header="0" footer="0.196850393700787"/>
  <pageSetup scale="90" orientation="portrait" r:id="rId1"/>
  <headerFooter alignWithMargins="0">
    <oddFooter>&amp;L&amp;P
&amp;RMay 4, 2025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9E35-7EA8-4CE6-A7DF-C1E7F43A7908}">
  <sheetPr transitionEvaluation="1">
    <tabColor theme="9" tint="0.59999389629810485"/>
    <pageSetUpPr fitToPage="1"/>
  </sheetPr>
  <dimension ref="A1:GT48"/>
  <sheetViews>
    <sheetView defaultGridColor="0" view="pageBreakPreview" colorId="22" zoomScale="90" zoomScaleNormal="110" zoomScaleSheetLayoutView="90" workbookViewId="0">
      <selection activeCell="A5" sqref="A5:A11"/>
    </sheetView>
  </sheetViews>
  <sheetFormatPr defaultColWidth="9" defaultRowHeight="15.5"/>
  <cols>
    <col min="1" max="1" width="8.23046875" style="26" customWidth="1"/>
    <col min="2" max="4" width="11.84375" style="3" customWidth="1"/>
    <col min="5" max="5" width="18.23046875" style="3" customWidth="1"/>
    <col min="6" max="7" width="7.84375" style="3" customWidth="1"/>
    <col min="8" max="13" width="9" style="89"/>
    <col min="14" max="16384" width="9" style="3"/>
  </cols>
  <sheetData>
    <row r="1" spans="1:202" ht="24" customHeight="1">
      <c r="A1" s="269" t="s">
        <v>2</v>
      </c>
      <c r="B1" s="269"/>
      <c r="C1" s="269"/>
      <c r="D1" s="269"/>
      <c r="E1" s="269"/>
      <c r="F1" s="269"/>
      <c r="G1" s="269"/>
    </row>
    <row r="2" spans="1:202" ht="21.75" customHeight="1">
      <c r="A2" s="261" t="str">
        <f>'Colonist-6 Panel'!A2</f>
        <v>NET PRICE LIST (May 4, 2025)</v>
      </c>
      <c r="B2" s="261"/>
      <c r="C2" s="261"/>
      <c r="D2" s="261"/>
      <c r="E2" s="261"/>
      <c r="F2" s="261"/>
      <c r="G2" s="261"/>
    </row>
    <row r="3" spans="1:202" ht="30" customHeight="1">
      <c r="A3" s="262" t="str">
        <f>'Colonist-6 Panel'!A3</f>
        <v>HOME HARDWARE - NON COMMITTED WEST</v>
      </c>
      <c r="B3" s="262"/>
      <c r="C3" s="262"/>
      <c r="D3" s="262"/>
      <c r="E3" s="262"/>
      <c r="F3" s="262"/>
      <c r="G3" s="262"/>
    </row>
    <row r="4" spans="1:202" ht="11.25" customHeight="1">
      <c r="B4" s="1"/>
      <c r="C4" s="2"/>
      <c r="D4" s="2"/>
      <c r="E4" s="2"/>
      <c r="F4" s="2"/>
      <c r="G4" s="1"/>
    </row>
    <row r="5" spans="1:202" ht="19.5" customHeight="1">
      <c r="A5" s="328" t="s">
        <v>67</v>
      </c>
      <c r="B5" s="1"/>
      <c r="C5" s="2"/>
      <c r="D5" s="2"/>
      <c r="E5" s="2"/>
      <c r="F5" s="2"/>
      <c r="G5" s="1"/>
    </row>
    <row r="6" spans="1:202" ht="15.75" customHeight="1">
      <c r="A6" s="263"/>
      <c r="B6" s="1"/>
      <c r="C6" s="2"/>
      <c r="D6" s="2"/>
      <c r="E6" s="2"/>
      <c r="F6" s="2"/>
      <c r="G6" s="1"/>
    </row>
    <row r="7" spans="1:202" ht="15.75" customHeight="1">
      <c r="A7" s="263"/>
      <c r="B7" s="1"/>
      <c r="C7" s="2"/>
      <c r="D7" s="2"/>
      <c r="E7" s="2"/>
      <c r="F7" s="2"/>
      <c r="G7" s="1"/>
    </row>
    <row r="8" spans="1:202" ht="20.25" customHeight="1">
      <c r="A8" s="263"/>
      <c r="B8" s="1"/>
      <c r="C8" s="2"/>
      <c r="D8" s="2"/>
      <c r="E8" s="2"/>
      <c r="F8" s="2"/>
      <c r="G8" s="1"/>
    </row>
    <row r="9" spans="1:202" ht="20.25" customHeight="1">
      <c r="A9" s="263"/>
      <c r="B9" s="1"/>
      <c r="C9" s="2"/>
      <c r="D9" s="2"/>
      <c r="E9" s="2"/>
      <c r="F9" s="2"/>
      <c r="G9" s="1"/>
    </row>
    <row r="10" spans="1:202" ht="9" customHeight="1">
      <c r="A10" s="263"/>
      <c r="B10" s="1"/>
      <c r="C10" s="2"/>
      <c r="D10" s="2"/>
      <c r="E10" s="2"/>
      <c r="F10" s="2"/>
      <c r="G10" s="1"/>
    </row>
    <row r="11" spans="1:202" ht="15.75" customHeight="1" thickBot="1">
      <c r="A11" s="263"/>
      <c r="B11" s="1"/>
      <c r="C11" s="2"/>
      <c r="D11" s="2"/>
      <c r="E11" s="2"/>
      <c r="F11" s="2"/>
      <c r="G11" s="1"/>
    </row>
    <row r="12" spans="1:202" ht="16.5" thickTop="1" thickBot="1">
      <c r="A12" s="21" t="s">
        <v>6</v>
      </c>
      <c r="B12" s="19" t="s">
        <v>7</v>
      </c>
      <c r="C12" s="24"/>
      <c r="D12" s="13"/>
      <c r="E12" s="8"/>
      <c r="F12" s="9"/>
      <c r="G12" s="10"/>
    </row>
    <row r="13" spans="1:202" ht="16.5" thickTop="1" thickBot="1">
      <c r="A13" s="21" t="s">
        <v>8</v>
      </c>
      <c r="B13" s="19" t="s">
        <v>7</v>
      </c>
      <c r="C13" s="24"/>
      <c r="D13" s="13"/>
      <c r="E13" s="8"/>
      <c r="F13" s="9"/>
      <c r="G13" s="10"/>
    </row>
    <row r="14" spans="1:202" ht="13.5" customHeight="1" thickTop="1" thickBot="1">
      <c r="B14" s="10"/>
      <c r="C14" s="10"/>
      <c r="D14" s="10"/>
      <c r="E14" s="10"/>
      <c r="F14" s="10"/>
      <c r="G14" s="11"/>
    </row>
    <row r="15" spans="1:202" ht="36" customHeight="1" thickTop="1" thickBot="1">
      <c r="A15" s="301" t="s">
        <v>9</v>
      </c>
      <c r="B15" s="302"/>
      <c r="C15" s="302"/>
      <c r="D15" s="303"/>
      <c r="E15" s="126" t="str">
        <f>'Colonist-6 Panel'!E16</f>
        <v>Net Price</v>
      </c>
      <c r="F15" s="129"/>
      <c r="G15" s="129"/>
      <c r="H15" s="91"/>
      <c r="I15" s="91"/>
      <c r="J15" s="91"/>
      <c r="K15" s="91"/>
      <c r="L15" s="91"/>
      <c r="M15" s="9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</row>
    <row r="16" spans="1:202" ht="30" customHeight="1" thickTop="1" thickBot="1">
      <c r="A16" s="304" t="s">
        <v>59</v>
      </c>
      <c r="B16" s="304"/>
      <c r="C16" s="304"/>
      <c r="D16" s="304"/>
      <c r="E16" s="304"/>
      <c r="F16" s="256"/>
      <c r="G16" s="256"/>
      <c r="H16" s="91"/>
      <c r="I16"/>
      <c r="J16"/>
      <c r="K16"/>
      <c r="L16" s="91"/>
      <c r="M16" s="9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</row>
    <row r="17" spans="1:202">
      <c r="A17" s="257" t="s">
        <v>12</v>
      </c>
      <c r="B17" s="258"/>
      <c r="C17" s="259" t="s">
        <v>13</v>
      </c>
      <c r="D17" s="274"/>
      <c r="E17" s="149">
        <v>84.795918367346928</v>
      </c>
      <c r="F17" s="81"/>
      <c r="G17" s="81"/>
      <c r="H17"/>
      <c r="I17"/>
      <c r="J17"/>
      <c r="K17"/>
      <c r="L17" s="101"/>
      <c r="M17" s="91"/>
      <c r="N17" s="95"/>
      <c r="O17" s="95"/>
      <c r="P17" s="95"/>
      <c r="Q17" s="95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</row>
    <row r="18" spans="1:202">
      <c r="A18" s="251" t="s">
        <v>14</v>
      </c>
      <c r="B18" s="252"/>
      <c r="C18" s="253" t="s">
        <v>15</v>
      </c>
      <c r="D18" s="272"/>
      <c r="E18" s="149">
        <v>84.795918367346928</v>
      </c>
      <c r="F18" s="81"/>
      <c r="G18" s="81"/>
      <c r="H18"/>
      <c r="I18"/>
      <c r="J18"/>
      <c r="K18"/>
      <c r="L18" s="101"/>
      <c r="M18" s="91"/>
      <c r="N18" s="95"/>
      <c r="O18" s="95"/>
      <c r="P18" s="95"/>
      <c r="Q18" s="95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</row>
    <row r="19" spans="1:202">
      <c r="A19" s="251" t="s">
        <v>16</v>
      </c>
      <c r="B19" s="252"/>
      <c r="C19" s="253" t="s">
        <v>17</v>
      </c>
      <c r="D19" s="272"/>
      <c r="E19" s="149">
        <v>84.795918367346928</v>
      </c>
      <c r="F19" s="81"/>
      <c r="G19" s="81"/>
      <c r="H19"/>
      <c r="I19"/>
      <c r="J19"/>
      <c r="K19"/>
      <c r="L19" s="101"/>
      <c r="M19" s="91"/>
      <c r="N19" s="95"/>
      <c r="O19" s="95"/>
      <c r="P19" s="95"/>
      <c r="Q19" s="95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</row>
    <row r="20" spans="1:202">
      <c r="A20" s="251" t="s">
        <v>18</v>
      </c>
      <c r="B20" s="252"/>
      <c r="C20" s="253" t="s">
        <v>19</v>
      </c>
      <c r="D20" s="272"/>
      <c r="E20" s="149">
        <v>84.795918367346928</v>
      </c>
      <c r="F20" s="81"/>
      <c r="G20" s="81"/>
      <c r="H20"/>
      <c r="I20"/>
      <c r="J20"/>
      <c r="K20"/>
      <c r="L20" s="101"/>
      <c r="M20" s="91"/>
      <c r="N20" s="95"/>
      <c r="O20" s="95"/>
      <c r="P20" s="95"/>
      <c r="Q20" s="95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</row>
    <row r="21" spans="1:202">
      <c r="A21" s="251" t="s">
        <v>20</v>
      </c>
      <c r="B21" s="252"/>
      <c r="C21" s="253" t="s">
        <v>21</v>
      </c>
      <c r="D21" s="272"/>
      <c r="E21" s="149">
        <v>85.969387755102048</v>
      </c>
      <c r="F21" s="81"/>
      <c r="G21" s="81"/>
      <c r="H21"/>
      <c r="I21"/>
      <c r="J21"/>
      <c r="K21"/>
      <c r="L21" s="101"/>
      <c r="M21" s="91"/>
      <c r="N21" s="95"/>
      <c r="O21" s="95"/>
      <c r="P21" s="95"/>
      <c r="Q21" s="95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</row>
    <row r="22" spans="1:202">
      <c r="A22" s="251" t="s">
        <v>22</v>
      </c>
      <c r="B22" s="252"/>
      <c r="C22" s="253" t="s">
        <v>23</v>
      </c>
      <c r="D22" s="272"/>
      <c r="E22" s="149">
        <v>85.969387755102048</v>
      </c>
      <c r="F22" s="81"/>
      <c r="G22" s="81"/>
      <c r="H22"/>
      <c r="I22"/>
      <c r="J22"/>
      <c r="K22"/>
      <c r="L22" s="101"/>
      <c r="M22" s="91"/>
      <c r="N22" s="95"/>
      <c r="O22" s="95"/>
      <c r="P22" s="95"/>
      <c r="Q22" s="95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</row>
    <row r="23" spans="1:202">
      <c r="A23" s="251" t="s">
        <v>24</v>
      </c>
      <c r="B23" s="252"/>
      <c r="C23" s="253" t="s">
        <v>25</v>
      </c>
      <c r="D23" s="272"/>
      <c r="E23" s="149">
        <v>85.969387755102048</v>
      </c>
      <c r="F23" s="81"/>
      <c r="G23" s="81"/>
      <c r="H23"/>
      <c r="I23"/>
      <c r="J23"/>
      <c r="K23"/>
      <c r="L23" s="101"/>
      <c r="M23" s="91"/>
      <c r="N23" s="95"/>
      <c r="O23" s="95"/>
      <c r="P23" s="95"/>
      <c r="Q23" s="95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</row>
    <row r="24" spans="1:202" s="30" customFormat="1">
      <c r="A24" s="251" t="s">
        <v>26</v>
      </c>
      <c r="B24" s="252"/>
      <c r="C24" s="253" t="s">
        <v>27</v>
      </c>
      <c r="D24" s="272"/>
      <c r="E24" s="149">
        <v>89.234693877551024</v>
      </c>
      <c r="F24" s="81"/>
      <c r="G24" s="81"/>
      <c r="H24"/>
      <c r="I24"/>
      <c r="J24"/>
      <c r="K24"/>
      <c r="L24" s="101"/>
      <c r="M24" s="91"/>
      <c r="N24" s="95"/>
      <c r="O24" s="95"/>
      <c r="P24" s="95"/>
      <c r="Q24" s="95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</row>
    <row r="25" spans="1:202" s="30" customFormat="1">
      <c r="A25" s="251" t="s">
        <v>28</v>
      </c>
      <c r="B25" s="252"/>
      <c r="C25" s="253" t="s">
        <v>29</v>
      </c>
      <c r="D25" s="272"/>
      <c r="E25" s="149">
        <v>89.234693877551024</v>
      </c>
      <c r="F25" s="81"/>
      <c r="G25" s="81"/>
      <c r="H25"/>
      <c r="I25"/>
      <c r="J25"/>
      <c r="K25"/>
      <c r="L25" s="101"/>
      <c r="M25" s="91"/>
      <c r="N25" s="95"/>
      <c r="O25" s="95"/>
      <c r="P25" s="95"/>
      <c r="Q25" s="95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</row>
    <row r="26" spans="1:202" ht="15.75" customHeight="1">
      <c r="A26" s="251" t="s">
        <v>30</v>
      </c>
      <c r="B26" s="252"/>
      <c r="C26" s="253" t="s">
        <v>31</v>
      </c>
      <c r="D26" s="272"/>
      <c r="E26" s="149">
        <v>89.234693877551024</v>
      </c>
      <c r="F26" s="81"/>
      <c r="G26" s="81"/>
      <c r="H26"/>
      <c r="I26"/>
      <c r="J26"/>
      <c r="K26"/>
      <c r="L26" s="101"/>
      <c r="M26" s="91"/>
      <c r="N26" s="95"/>
      <c r="O26" s="95"/>
      <c r="P26" s="95"/>
      <c r="Q26" s="95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</row>
    <row r="27" spans="1:202">
      <c r="A27" s="251" t="s">
        <v>32</v>
      </c>
      <c r="B27" s="252"/>
      <c r="C27" s="253" t="s">
        <v>33</v>
      </c>
      <c r="D27" s="272"/>
      <c r="E27" s="149">
        <v>91.224489795918373</v>
      </c>
      <c r="F27" s="81"/>
      <c r="G27" s="81"/>
      <c r="H27"/>
      <c r="I27"/>
      <c r="J27"/>
      <c r="K27"/>
      <c r="L27" s="101"/>
      <c r="M27" s="91"/>
      <c r="N27" s="95"/>
      <c r="O27" s="95"/>
      <c r="P27" s="95"/>
      <c r="Q27" s="95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</row>
    <row r="28" spans="1:202">
      <c r="A28" s="251" t="s">
        <v>34</v>
      </c>
      <c r="B28" s="252"/>
      <c r="C28" s="253" t="s">
        <v>35</v>
      </c>
      <c r="D28" s="272"/>
      <c r="E28" s="149">
        <v>95.91836734693878</v>
      </c>
      <c r="F28" s="81"/>
      <c r="G28" s="81"/>
      <c r="H28"/>
      <c r="I28"/>
      <c r="J28"/>
      <c r="K28"/>
      <c r="L28" s="101"/>
      <c r="N28" s="95"/>
      <c r="O28" s="95"/>
      <c r="P28" s="95"/>
      <c r="Q28" s="95"/>
    </row>
    <row r="29" spans="1:202" ht="16.149999999999999" customHeight="1">
      <c r="A29" s="251" t="s">
        <v>36</v>
      </c>
      <c r="B29" s="252"/>
      <c r="C29" s="253" t="s">
        <v>37</v>
      </c>
      <c r="D29" s="272"/>
      <c r="E29" s="149">
        <v>95.91836734693878</v>
      </c>
      <c r="F29" s="81"/>
      <c r="G29" s="81"/>
      <c r="H29"/>
      <c r="I29"/>
      <c r="J29"/>
      <c r="K29"/>
      <c r="L29" s="101"/>
      <c r="N29" s="95"/>
      <c r="O29" s="95"/>
      <c r="P29" s="95"/>
      <c r="Q29" s="95"/>
    </row>
    <row r="30" spans="1:202" ht="16.149999999999999" customHeight="1" thickBot="1">
      <c r="A30" s="249" t="s">
        <v>38</v>
      </c>
      <c r="B30" s="250"/>
      <c r="C30" s="250"/>
      <c r="D30" s="282"/>
      <c r="E30" s="80">
        <v>6.5</v>
      </c>
      <c r="F30" s="81"/>
      <c r="G30" s="81"/>
      <c r="H30"/>
      <c r="I30"/>
      <c r="J30"/>
      <c r="K30"/>
      <c r="L30" s="101"/>
      <c r="N30" s="95"/>
      <c r="O30" s="95"/>
      <c r="P30" s="95"/>
      <c r="Q30" s="95"/>
    </row>
    <row r="31" spans="1:202" s="31" customFormat="1" ht="30.75" customHeight="1" thickBot="1">
      <c r="A31" s="273" t="s">
        <v>60</v>
      </c>
      <c r="B31" s="273"/>
      <c r="C31" s="273"/>
      <c r="D31" s="273"/>
      <c r="E31" s="273"/>
      <c r="F31" s="256"/>
      <c r="G31" s="256"/>
      <c r="H31"/>
      <c r="I31"/>
      <c r="J31"/>
      <c r="K31"/>
      <c r="L31" s="101"/>
      <c r="M31" s="89"/>
      <c r="N31" s="95"/>
      <c r="O31" s="95"/>
      <c r="P31" s="95"/>
      <c r="Q31" s="95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</row>
    <row r="32" spans="1:202" s="31" customFormat="1" ht="15" customHeight="1">
      <c r="A32" s="257" t="s">
        <v>12</v>
      </c>
      <c r="B32" s="258"/>
      <c r="C32" s="259" t="s">
        <v>13</v>
      </c>
      <c r="D32" s="274"/>
      <c r="E32" s="149">
        <v>143.21428571428575</v>
      </c>
      <c r="F32" s="81"/>
      <c r="G32" s="81"/>
      <c r="H32"/>
      <c r="I32"/>
      <c r="J32"/>
      <c r="K32"/>
      <c r="L32" s="101"/>
      <c r="M32" s="89"/>
      <c r="N32" s="95"/>
      <c r="O32" s="95"/>
      <c r="P32" s="95"/>
      <c r="Q32" s="95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</row>
    <row r="33" spans="1:202" s="31" customFormat="1" ht="15" customHeight="1">
      <c r="A33" s="251" t="s">
        <v>14</v>
      </c>
      <c r="B33" s="252"/>
      <c r="C33" s="253" t="s">
        <v>15</v>
      </c>
      <c r="D33" s="272"/>
      <c r="E33" s="149">
        <v>143.21428571428575</v>
      </c>
      <c r="F33" s="81"/>
      <c r="G33" s="81"/>
      <c r="H33"/>
      <c r="I33"/>
      <c r="J33"/>
      <c r="K33"/>
      <c r="L33" s="101"/>
      <c r="M33" s="89"/>
      <c r="N33" s="95"/>
      <c r="O33" s="95"/>
      <c r="P33" s="95"/>
      <c r="Q33" s="95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</row>
    <row r="34" spans="1:202" s="31" customFormat="1" ht="15" customHeight="1">
      <c r="A34" s="251" t="s">
        <v>16</v>
      </c>
      <c r="B34" s="252"/>
      <c r="C34" s="253" t="s">
        <v>17</v>
      </c>
      <c r="D34" s="272"/>
      <c r="E34" s="149">
        <v>143.21428571428575</v>
      </c>
      <c r="F34" s="81"/>
      <c r="G34" s="81"/>
      <c r="H34"/>
      <c r="I34"/>
      <c r="J34"/>
      <c r="K34"/>
      <c r="L34" s="101"/>
      <c r="M34" s="89"/>
      <c r="N34" s="95"/>
      <c r="O34" s="95"/>
      <c r="P34" s="95"/>
      <c r="Q34" s="9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</row>
    <row r="35" spans="1:202" s="31" customFormat="1" ht="15" customHeight="1">
      <c r="A35" s="251" t="s">
        <v>18</v>
      </c>
      <c r="B35" s="252"/>
      <c r="C35" s="253" t="s">
        <v>19</v>
      </c>
      <c r="D35" s="272"/>
      <c r="E35" s="149">
        <v>143.21428571428575</v>
      </c>
      <c r="F35" s="81"/>
      <c r="G35" s="81"/>
      <c r="H35"/>
      <c r="I35"/>
      <c r="J35"/>
      <c r="K35"/>
      <c r="L35" s="101"/>
      <c r="M35" s="89"/>
      <c r="N35" s="95"/>
      <c r="O35" s="95"/>
      <c r="P35" s="95"/>
      <c r="Q35" s="95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</row>
    <row r="36" spans="1:202" s="31" customFormat="1" ht="15" customHeight="1">
      <c r="A36" s="251" t="s">
        <v>20</v>
      </c>
      <c r="B36" s="252"/>
      <c r="C36" s="253" t="s">
        <v>21</v>
      </c>
      <c r="D36" s="272"/>
      <c r="E36" s="149">
        <v>144.38775510204081</v>
      </c>
      <c r="F36" s="81"/>
      <c r="G36" s="81"/>
      <c r="H36"/>
      <c r="I36"/>
      <c r="J36"/>
      <c r="K36"/>
      <c r="L36" s="101"/>
      <c r="M36" s="89"/>
      <c r="N36" s="95"/>
      <c r="O36" s="95"/>
      <c r="P36" s="95"/>
      <c r="Q36" s="95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</row>
    <row r="37" spans="1:202" s="31" customFormat="1" ht="15" customHeight="1">
      <c r="A37" s="251" t="s">
        <v>22</v>
      </c>
      <c r="B37" s="252"/>
      <c r="C37" s="253" t="s">
        <v>23</v>
      </c>
      <c r="D37" s="272"/>
      <c r="E37" s="149">
        <v>144.38775510204081</v>
      </c>
      <c r="F37" s="81"/>
      <c r="G37" s="81"/>
      <c r="H37"/>
      <c r="I37"/>
      <c r="J37"/>
      <c r="K37"/>
      <c r="L37" s="101"/>
      <c r="M37" s="89"/>
      <c r="N37" s="95"/>
      <c r="O37" s="95"/>
      <c r="P37" s="95"/>
      <c r="Q37" s="95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</row>
    <row r="38" spans="1:202" s="31" customFormat="1" ht="15" customHeight="1">
      <c r="A38" s="251" t="s">
        <v>24</v>
      </c>
      <c r="B38" s="252"/>
      <c r="C38" s="253" t="s">
        <v>25</v>
      </c>
      <c r="D38" s="272"/>
      <c r="E38" s="149">
        <v>144.38775510204081</v>
      </c>
      <c r="F38" s="81"/>
      <c r="G38" s="81"/>
      <c r="H38"/>
      <c r="I38"/>
      <c r="J38"/>
      <c r="K38"/>
      <c r="L38" s="101"/>
      <c r="M38" s="89"/>
      <c r="N38" s="95"/>
      <c r="O38" s="95"/>
      <c r="P38" s="95"/>
      <c r="Q38" s="95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</row>
    <row r="39" spans="1:202" s="31" customFormat="1" ht="15" customHeight="1">
      <c r="A39" s="251" t="s">
        <v>26</v>
      </c>
      <c r="B39" s="252"/>
      <c r="C39" s="253" t="s">
        <v>27</v>
      </c>
      <c r="D39" s="272"/>
      <c r="E39" s="149">
        <v>147.65306122448982</v>
      </c>
      <c r="F39" s="81"/>
      <c r="G39" s="81"/>
      <c r="H39"/>
      <c r="I39"/>
      <c r="J39"/>
      <c r="K39"/>
      <c r="L39" s="101"/>
      <c r="M39" s="89"/>
      <c r="N39" s="95"/>
      <c r="O39" s="95"/>
      <c r="P39" s="95"/>
      <c r="Q39" s="95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</row>
    <row r="40" spans="1:202" s="31" customFormat="1" ht="15" customHeight="1">
      <c r="A40" s="251" t="s">
        <v>28</v>
      </c>
      <c r="B40" s="252"/>
      <c r="C40" s="253" t="s">
        <v>29</v>
      </c>
      <c r="D40" s="272"/>
      <c r="E40" s="149">
        <v>147.65306122448982</v>
      </c>
      <c r="F40" s="81"/>
      <c r="G40" s="81"/>
      <c r="H40"/>
      <c r="I40"/>
      <c r="J40"/>
      <c r="K40"/>
      <c r="L40" s="101"/>
      <c r="M40" s="89"/>
      <c r="N40" s="95"/>
      <c r="O40" s="95"/>
      <c r="P40" s="95"/>
      <c r="Q40" s="95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</row>
    <row r="41" spans="1:202" s="31" customFormat="1">
      <c r="A41" s="251" t="s">
        <v>30</v>
      </c>
      <c r="B41" s="252"/>
      <c r="C41" s="253" t="s">
        <v>31</v>
      </c>
      <c r="D41" s="272"/>
      <c r="E41" s="149">
        <v>147.65306122448982</v>
      </c>
      <c r="F41" s="81"/>
      <c r="G41" s="81"/>
      <c r="H41"/>
      <c r="I41"/>
      <c r="J41"/>
      <c r="K41"/>
      <c r="L41" s="101"/>
      <c r="M41" s="89"/>
      <c r="N41" s="95"/>
      <c r="O41" s="95"/>
      <c r="P41" s="95"/>
      <c r="Q41" s="95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</row>
    <row r="42" spans="1:202" s="31" customFormat="1">
      <c r="A42" s="251" t="s">
        <v>32</v>
      </c>
      <c r="B42" s="252"/>
      <c r="C42" s="253" t="s">
        <v>33</v>
      </c>
      <c r="D42" s="272"/>
      <c r="E42" s="149">
        <v>149.64285714285714</v>
      </c>
      <c r="F42" s="81"/>
      <c r="G42" s="81"/>
      <c r="H42"/>
      <c r="I42"/>
      <c r="J42"/>
      <c r="K42"/>
      <c r="L42" s="101"/>
      <c r="M42" s="89"/>
      <c r="N42" s="95"/>
      <c r="O42" s="95"/>
      <c r="P42" s="95"/>
      <c r="Q42" s="95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</row>
    <row r="43" spans="1:202" s="31" customFormat="1">
      <c r="A43" s="251" t="s">
        <v>34</v>
      </c>
      <c r="B43" s="252"/>
      <c r="C43" s="253" t="s">
        <v>35</v>
      </c>
      <c r="D43" s="272"/>
      <c r="E43" s="149">
        <v>154.33673469387756</v>
      </c>
      <c r="F43" s="81"/>
      <c r="G43" s="81"/>
      <c r="H43"/>
      <c r="I43"/>
      <c r="J43"/>
      <c r="K43"/>
      <c r="L43" s="101"/>
      <c r="M43" s="89"/>
      <c r="N43" s="95"/>
      <c r="O43" s="95"/>
      <c r="P43" s="95"/>
      <c r="Q43" s="95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</row>
    <row r="44" spans="1:202" s="31" customFormat="1" ht="16.149999999999999" customHeight="1">
      <c r="A44" s="251" t="s">
        <v>36</v>
      </c>
      <c r="B44" s="252"/>
      <c r="C44" s="253" t="s">
        <v>37</v>
      </c>
      <c r="D44" s="272"/>
      <c r="E44" s="149">
        <v>154.33673469387756</v>
      </c>
      <c r="F44" s="81"/>
      <c r="G44" s="81"/>
      <c r="H44"/>
      <c r="I44"/>
      <c r="J44"/>
      <c r="K44"/>
      <c r="L44" s="101"/>
      <c r="M44" s="89"/>
      <c r="N44" s="95"/>
      <c r="O44" s="95"/>
      <c r="P44" s="95"/>
      <c r="Q44" s="95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</row>
    <row r="45" spans="1:202" s="31" customFormat="1" ht="16.149999999999999" customHeight="1">
      <c r="A45" s="251" t="s">
        <v>52</v>
      </c>
      <c r="B45" s="252"/>
      <c r="C45" s="253" t="s">
        <v>68</v>
      </c>
      <c r="D45" s="272"/>
      <c r="E45" s="149">
        <v>181.88775510204081</v>
      </c>
      <c r="F45" s="81"/>
      <c r="G45" s="81"/>
      <c r="H45"/>
      <c r="I45"/>
      <c r="J45"/>
      <c r="K45"/>
      <c r="L45" s="101"/>
      <c r="M45" s="89"/>
      <c r="N45" s="95"/>
      <c r="O45" s="95"/>
      <c r="P45" s="95"/>
      <c r="Q45" s="95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</row>
    <row r="46" spans="1:202" s="31" customFormat="1" ht="16.149999999999999" customHeight="1">
      <c r="A46" s="254" t="s">
        <v>38</v>
      </c>
      <c r="B46" s="255"/>
      <c r="C46" s="255"/>
      <c r="D46" s="281"/>
      <c r="E46" s="79">
        <v>23.8</v>
      </c>
      <c r="F46" s="81"/>
      <c r="G46" s="81"/>
      <c r="H46"/>
      <c r="I46"/>
      <c r="J46"/>
      <c r="K46"/>
      <c r="L46" s="101"/>
      <c r="M46" s="89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</row>
    <row r="47" spans="1:202" s="31" customFormat="1" ht="16.149999999999999" customHeight="1" thickBot="1">
      <c r="A47" s="249" t="s">
        <v>39</v>
      </c>
      <c r="B47" s="250"/>
      <c r="C47" s="250"/>
      <c r="D47" s="282"/>
      <c r="E47" s="80">
        <v>71.400000000000006</v>
      </c>
      <c r="F47" s="81"/>
      <c r="G47" s="81"/>
      <c r="H47"/>
      <c r="I47"/>
      <c r="J47"/>
      <c r="K47"/>
      <c r="L47" s="101"/>
      <c r="M47" s="89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</row>
    <row r="48" spans="1:202" ht="27.75" customHeight="1">
      <c r="I48"/>
      <c r="J48"/>
      <c r="K48"/>
    </row>
  </sheetData>
  <mergeCells count="64">
    <mergeCell ref="A40:B40"/>
    <mergeCell ref="C40:D40"/>
    <mergeCell ref="A41:B41"/>
    <mergeCell ref="C41:D41"/>
    <mergeCell ref="A42:B42"/>
    <mergeCell ref="C42:D42"/>
    <mergeCell ref="A46:D46"/>
    <mergeCell ref="A47:D47"/>
    <mergeCell ref="A43:B43"/>
    <mergeCell ref="C43:D43"/>
    <mergeCell ref="A44:B44"/>
    <mergeCell ref="C44:D44"/>
    <mergeCell ref="A45:B45"/>
    <mergeCell ref="C45:D45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28:B28"/>
    <mergeCell ref="C28:D28"/>
    <mergeCell ref="A29:B29"/>
    <mergeCell ref="C29:D29"/>
    <mergeCell ref="A30:D30"/>
    <mergeCell ref="A31:G31"/>
    <mergeCell ref="A32:B32"/>
    <mergeCell ref="C32:D32"/>
    <mergeCell ref="A33:B33"/>
    <mergeCell ref="C33:D33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16:G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1:G1"/>
    <mergeCell ref="A2:G2"/>
    <mergeCell ref="A3:G3"/>
    <mergeCell ref="A5:A11"/>
    <mergeCell ref="A15:D15"/>
  </mergeCells>
  <printOptions horizontalCentered="1"/>
  <pageMargins left="0.196850393700787" right="0.196850393700787" top="0.39370078740157499" bottom="0.59055118110236204" header="0" footer="0.196850393700787"/>
  <pageSetup scale="90" orientation="portrait" r:id="rId1"/>
  <headerFooter alignWithMargins="0">
    <oddFooter>&amp;L&amp;P
&amp;RMay 4, 2025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7DA6-AFEF-4227-80F0-967C2F63BCD4}">
  <sheetPr>
    <tabColor theme="9" tint="0.59999389629810485"/>
    <pageSetUpPr fitToPage="1"/>
  </sheetPr>
  <dimension ref="A1:I46"/>
  <sheetViews>
    <sheetView view="pageBreakPreview" zoomScaleNormal="90" zoomScaleSheetLayoutView="100" workbookViewId="0">
      <selection activeCell="C4" sqref="C4:C5"/>
    </sheetView>
  </sheetViews>
  <sheetFormatPr defaultColWidth="13.765625" defaultRowHeight="14"/>
  <cols>
    <col min="1" max="1" width="42.69140625" style="35" customWidth="1"/>
    <col min="2" max="2" width="23.3046875" style="35" customWidth="1"/>
    <col min="3" max="3" width="12.53515625" style="35" customWidth="1"/>
    <col min="4" max="4" width="7.23046875" style="35" customWidth="1"/>
    <col min="5" max="5" width="11.23046875" style="100" bestFit="1" customWidth="1"/>
    <col min="6" max="6" width="7.3046875" style="104" bestFit="1" customWidth="1"/>
    <col min="7" max="7" width="10.3046875" style="104" bestFit="1" customWidth="1"/>
    <col min="8" max="8" width="9.84375" style="104" customWidth="1"/>
    <col min="9" max="16384" width="13.765625" style="35"/>
  </cols>
  <sheetData>
    <row r="1" spans="1:9">
      <c r="B1" s="86"/>
    </row>
    <row r="3" spans="1:9" ht="22.5" customHeight="1" thickBot="1">
      <c r="A3" s="261" t="str">
        <f>'Colonist-6 Panel'!A3</f>
        <v>HOME HARDWARE - NON COMMITTED WEST</v>
      </c>
      <c r="B3" s="261"/>
      <c r="C3" s="261"/>
      <c r="D3" s="261"/>
      <c r="E3" s="152"/>
      <c r="F3" s="152"/>
      <c r="G3" s="152"/>
    </row>
    <row r="4" spans="1:9" ht="34.5" customHeight="1" thickBot="1">
      <c r="A4" s="133" t="s">
        <v>69</v>
      </c>
      <c r="B4" s="331" t="s">
        <v>70</v>
      </c>
      <c r="C4" s="329"/>
      <c r="D4" s="329"/>
    </row>
    <row r="5" spans="1:9" ht="16" thickBot="1">
      <c r="A5" s="134" t="s">
        <v>71</v>
      </c>
      <c r="B5" s="332"/>
      <c r="C5" s="330"/>
      <c r="D5" s="330"/>
      <c r="E5"/>
      <c r="F5"/>
      <c r="G5"/>
      <c r="H5"/>
      <c r="I5"/>
    </row>
    <row r="6" spans="1:9" ht="15.5">
      <c r="A6" s="135" t="s">
        <v>72</v>
      </c>
      <c r="B6" s="236">
        <v>12.25</v>
      </c>
      <c r="C6" s="122"/>
      <c r="D6" s="122"/>
      <c r="E6"/>
      <c r="F6"/>
      <c r="G6"/>
      <c r="H6"/>
      <c r="I6"/>
    </row>
    <row r="7" spans="1:9" ht="15.5">
      <c r="A7" s="135" t="s">
        <v>73</v>
      </c>
      <c r="B7" s="236">
        <v>33.65</v>
      </c>
      <c r="C7" s="122"/>
      <c r="D7" s="122"/>
      <c r="E7"/>
      <c r="F7"/>
      <c r="G7"/>
      <c r="H7"/>
      <c r="I7"/>
    </row>
    <row r="8" spans="1:9" ht="15.5">
      <c r="A8" s="135" t="s">
        <v>74</v>
      </c>
      <c r="B8" s="236">
        <v>43.900000000000006</v>
      </c>
      <c r="C8" s="122"/>
      <c r="D8" s="122"/>
      <c r="E8"/>
      <c r="F8"/>
      <c r="G8"/>
      <c r="H8"/>
      <c r="I8"/>
    </row>
    <row r="9" spans="1:9" ht="15.5">
      <c r="A9" s="135" t="s">
        <v>75</v>
      </c>
      <c r="B9" s="236">
        <v>346.95000000000005</v>
      </c>
      <c r="C9" s="122"/>
      <c r="D9" s="122"/>
      <c r="E9"/>
      <c r="F9"/>
      <c r="G9"/>
      <c r="H9"/>
      <c r="I9"/>
    </row>
    <row r="10" spans="1:9" ht="15.5">
      <c r="A10" s="135" t="s">
        <v>76</v>
      </c>
      <c r="B10" s="236">
        <v>509.20000000000005</v>
      </c>
      <c r="C10" s="122"/>
      <c r="D10" s="122"/>
      <c r="E10"/>
      <c r="F10"/>
      <c r="G10"/>
      <c r="H10"/>
      <c r="I10"/>
    </row>
    <row r="11" spans="1:9" ht="15.5">
      <c r="A11" s="135" t="s">
        <v>77</v>
      </c>
      <c r="B11" s="236">
        <v>471.45000000000005</v>
      </c>
      <c r="C11" s="122"/>
      <c r="D11" s="122"/>
      <c r="E11"/>
      <c r="F11"/>
      <c r="G11"/>
      <c r="H11"/>
      <c r="I11"/>
    </row>
    <row r="12" spans="1:9" ht="15.5">
      <c r="A12" s="135" t="s">
        <v>78</v>
      </c>
      <c r="B12" s="236">
        <v>10.200000000000001</v>
      </c>
      <c r="C12" s="122"/>
      <c r="D12" s="122"/>
      <c r="E12"/>
      <c r="F12"/>
      <c r="G12"/>
      <c r="H12"/>
      <c r="I12"/>
    </row>
    <row r="13" spans="1:9" ht="15.5">
      <c r="A13" s="135" t="s">
        <v>79</v>
      </c>
      <c r="B13" s="236">
        <v>10.200000000000001</v>
      </c>
      <c r="C13" s="122"/>
      <c r="D13" s="122"/>
      <c r="E13"/>
      <c r="F13"/>
      <c r="G13"/>
      <c r="H13"/>
      <c r="I13"/>
    </row>
    <row r="14" spans="1:9" ht="23">
      <c r="A14" s="36" t="s">
        <v>80</v>
      </c>
      <c r="B14" s="237">
        <v>87.75</v>
      </c>
      <c r="C14" s="122"/>
      <c r="D14" s="122"/>
      <c r="E14"/>
      <c r="F14"/>
      <c r="G14"/>
      <c r="H14"/>
      <c r="I14"/>
    </row>
    <row r="15" spans="1:9" ht="23.5" thickBot="1">
      <c r="A15" s="136" t="s">
        <v>145</v>
      </c>
      <c r="B15" s="238">
        <v>18.350000000000001</v>
      </c>
      <c r="C15" s="122"/>
      <c r="D15" s="122"/>
      <c r="E15"/>
      <c r="F15"/>
      <c r="G15"/>
      <c r="H15"/>
      <c r="I15"/>
    </row>
    <row r="16" spans="1:9">
      <c r="F16" s="103"/>
      <c r="G16" s="105"/>
    </row>
    <row r="17" spans="1:8" ht="17.25" customHeight="1" thickBot="1">
      <c r="A17" s="77" t="s">
        <v>81</v>
      </c>
      <c r="E17" s="100" t="s">
        <v>146</v>
      </c>
      <c r="F17" s="103" t="s">
        <v>140</v>
      </c>
      <c r="G17" s="105" t="s">
        <v>147</v>
      </c>
    </row>
    <row r="18" spans="1:8">
      <c r="A18" s="137" t="s">
        <v>82</v>
      </c>
      <c r="B18" s="240">
        <f>G18</f>
        <v>66.45</v>
      </c>
      <c r="C18" s="122"/>
      <c r="D18" s="122"/>
      <c r="E18" s="100">
        <v>62.7</v>
      </c>
      <c r="F18" s="239">
        <v>0.06</v>
      </c>
      <c r="G18" s="103">
        <f>MROUND(E18*(1+F18),0.05)</f>
        <v>66.45</v>
      </c>
      <c r="H18" s="105"/>
    </row>
    <row r="19" spans="1:8">
      <c r="A19" s="135" t="s">
        <v>83</v>
      </c>
      <c r="B19" s="236">
        <f t="shared" ref="B19:B24" si="0">G19</f>
        <v>78.350000000000009</v>
      </c>
      <c r="C19" s="122"/>
      <c r="D19" s="122"/>
      <c r="E19" s="100">
        <v>73.900000000000006</v>
      </c>
      <c r="F19" s="239">
        <v>0.06</v>
      </c>
      <c r="G19" s="103">
        <f t="shared" ref="G19:G30" si="1">MROUND(E19*(1+F19),0.05)</f>
        <v>78.350000000000009</v>
      </c>
      <c r="H19" s="105"/>
    </row>
    <row r="20" spans="1:8">
      <c r="A20" s="135" t="s">
        <v>84</v>
      </c>
      <c r="B20" s="236">
        <f t="shared" si="0"/>
        <v>79.550000000000011</v>
      </c>
      <c r="C20" s="122"/>
      <c r="D20" s="122"/>
      <c r="E20" s="100">
        <v>75.05</v>
      </c>
      <c r="F20" s="239">
        <v>0.06</v>
      </c>
      <c r="G20" s="103">
        <f t="shared" si="1"/>
        <v>79.550000000000011</v>
      </c>
      <c r="H20" s="105"/>
    </row>
    <row r="21" spans="1:8">
      <c r="A21" s="135" t="s">
        <v>85</v>
      </c>
      <c r="B21" s="236">
        <f t="shared" si="0"/>
        <v>92.600000000000009</v>
      </c>
      <c r="C21" s="122"/>
      <c r="D21" s="122"/>
      <c r="E21" s="100">
        <v>87.35</v>
      </c>
      <c r="F21" s="239">
        <v>0.06</v>
      </c>
      <c r="G21" s="103">
        <f t="shared" si="1"/>
        <v>92.600000000000009</v>
      </c>
      <c r="H21" s="105"/>
    </row>
    <row r="22" spans="1:8">
      <c r="A22" s="135" t="s">
        <v>86</v>
      </c>
      <c r="B22" s="236">
        <f t="shared" si="0"/>
        <v>79.550000000000011</v>
      </c>
      <c r="C22" s="122"/>
      <c r="D22" s="122"/>
      <c r="E22" s="100">
        <v>75.05</v>
      </c>
      <c r="F22" s="239">
        <v>0.06</v>
      </c>
      <c r="G22" s="103">
        <f t="shared" si="1"/>
        <v>79.550000000000011</v>
      </c>
      <c r="H22" s="105"/>
    </row>
    <row r="23" spans="1:8">
      <c r="A23" s="135" t="s">
        <v>87</v>
      </c>
      <c r="B23" s="236">
        <f t="shared" si="0"/>
        <v>79.550000000000011</v>
      </c>
      <c r="C23" s="122"/>
      <c r="D23" s="122"/>
      <c r="E23" s="100">
        <v>75.05</v>
      </c>
      <c r="F23" s="239">
        <v>0.06</v>
      </c>
      <c r="G23" s="103">
        <f t="shared" si="1"/>
        <v>79.550000000000011</v>
      </c>
      <c r="H23" s="105"/>
    </row>
    <row r="24" spans="1:8" ht="14.5" thickBot="1">
      <c r="A24" s="138" t="s">
        <v>88</v>
      </c>
      <c r="B24" s="238">
        <f t="shared" si="0"/>
        <v>92.600000000000009</v>
      </c>
      <c r="C24" s="122"/>
      <c r="D24" s="122"/>
      <c r="E24" s="100">
        <v>87.35</v>
      </c>
      <c r="F24" s="239">
        <v>0.06</v>
      </c>
      <c r="G24" s="103">
        <f t="shared" si="1"/>
        <v>92.600000000000009</v>
      </c>
      <c r="H24" s="105"/>
    </row>
    <row r="25" spans="1:8">
      <c r="A25" s="121"/>
      <c r="B25" s="122"/>
      <c r="C25" s="122"/>
      <c r="D25" s="122"/>
      <c r="F25" s="239"/>
      <c r="G25" s="103"/>
      <c r="H25" s="105"/>
    </row>
    <row r="26" spans="1:8" ht="14.5" thickBot="1">
      <c r="A26" s="77" t="s">
        <v>89</v>
      </c>
      <c r="B26" s="122"/>
      <c r="C26" s="122"/>
      <c r="D26" s="122"/>
      <c r="F26" s="239"/>
      <c r="G26" s="103"/>
      <c r="H26" s="105"/>
    </row>
    <row r="27" spans="1:8">
      <c r="A27" s="139" t="s">
        <v>90</v>
      </c>
      <c r="B27" s="241">
        <v>66.45</v>
      </c>
      <c r="C27" s="122"/>
      <c r="D27" s="122"/>
      <c r="E27" s="100">
        <v>8.4</v>
      </c>
      <c r="F27" s="239">
        <v>0.06</v>
      </c>
      <c r="G27" s="103">
        <f t="shared" si="1"/>
        <v>8.9</v>
      </c>
      <c r="H27" s="105"/>
    </row>
    <row r="28" spans="1:8">
      <c r="A28" s="140" t="s">
        <v>91</v>
      </c>
      <c r="B28" s="242">
        <v>66.45</v>
      </c>
      <c r="C28" s="122"/>
      <c r="D28" s="122"/>
      <c r="E28" s="100">
        <v>16</v>
      </c>
      <c r="F28" s="239">
        <v>0.06</v>
      </c>
      <c r="G28" s="103">
        <f t="shared" si="1"/>
        <v>16.95</v>
      </c>
      <c r="H28" s="105"/>
    </row>
    <row r="29" spans="1:8">
      <c r="A29" s="140" t="s">
        <v>92</v>
      </c>
      <c r="B29" s="242">
        <v>66.45</v>
      </c>
      <c r="C29" s="122"/>
      <c r="D29" s="122"/>
      <c r="E29" s="100">
        <v>16</v>
      </c>
      <c r="F29" s="239">
        <v>0.06</v>
      </c>
      <c r="G29" s="103">
        <f t="shared" si="1"/>
        <v>16.95</v>
      </c>
      <c r="H29" s="105"/>
    </row>
    <row r="30" spans="1:8" ht="14.5" thickBot="1">
      <c r="A30" s="141" t="s">
        <v>93</v>
      </c>
      <c r="B30" s="243">
        <v>66.45</v>
      </c>
      <c r="C30" s="122"/>
      <c r="D30" s="122"/>
      <c r="E30" s="100">
        <v>20.149999999999999</v>
      </c>
      <c r="F30" s="239">
        <v>0.06</v>
      </c>
      <c r="G30" s="103">
        <f t="shared" si="1"/>
        <v>21.35</v>
      </c>
      <c r="H30" s="105"/>
    </row>
    <row r="31" spans="1:8">
      <c r="A31" s="121"/>
      <c r="B31" s="122"/>
      <c r="C31" s="122"/>
      <c r="D31" s="122"/>
      <c r="F31" s="103"/>
      <c r="G31" s="105"/>
      <c r="H31" s="105"/>
    </row>
    <row r="32" spans="1:8">
      <c r="A32" s="73"/>
    </row>
    <row r="33" spans="1:3" ht="18" customHeight="1">
      <c r="A33" s="75"/>
      <c r="B33" s="76"/>
    </row>
    <row r="34" spans="1:3" ht="18" customHeight="1">
      <c r="A34" s="75"/>
      <c r="B34" s="76"/>
    </row>
    <row r="35" spans="1:3" ht="18" customHeight="1">
      <c r="A35" s="75"/>
      <c r="B35" s="76"/>
    </row>
    <row r="37" spans="1:3">
      <c r="A37" s="73"/>
      <c r="C37" s="121"/>
    </row>
    <row r="38" spans="1:3">
      <c r="A38" s="75"/>
      <c r="C38" s="121"/>
    </row>
    <row r="39" spans="1:3">
      <c r="A39" s="75"/>
    </row>
    <row r="40" spans="1:3">
      <c r="A40" s="75"/>
    </row>
    <row r="41" spans="1:3">
      <c r="A41" s="75"/>
    </row>
    <row r="42" spans="1:3">
      <c r="A42" s="75"/>
    </row>
    <row r="44" spans="1:3">
      <c r="A44" s="73"/>
    </row>
    <row r="45" spans="1:3">
      <c r="A45" s="75"/>
    </row>
    <row r="46" spans="1:3">
      <c r="A46" s="75"/>
    </row>
  </sheetData>
  <mergeCells count="4">
    <mergeCell ref="D4:D5"/>
    <mergeCell ref="B4:B5"/>
    <mergeCell ref="C4:C5"/>
    <mergeCell ref="A3:D3"/>
  </mergeCells>
  <printOptions horizontalCentered="1"/>
  <pageMargins left="0.196850393700787" right="0.196850393700787" top="0.39370078740157499" bottom="0.59055118110236204" header="0" footer="0.196850393700787"/>
  <pageSetup orientation="portrait" r:id="rId1"/>
  <headerFooter alignWithMargins="0">
    <oddFooter>&amp;L&amp;P
&amp;RMay 4, 2025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5AE8-4ABA-4678-A3E0-B00D0C788C85}">
  <sheetPr>
    <tabColor theme="9" tint="0.59999389629810485"/>
  </sheetPr>
  <dimension ref="A2:O59"/>
  <sheetViews>
    <sheetView view="pageBreakPreview" zoomScale="80" zoomScaleNormal="100" zoomScaleSheetLayoutView="80" workbookViewId="0">
      <selection activeCell="A8" sqref="A8:A10"/>
    </sheetView>
  </sheetViews>
  <sheetFormatPr defaultColWidth="8.765625" defaultRowHeight="13"/>
  <cols>
    <col min="1" max="1" width="23.23046875" style="155" customWidth="1"/>
    <col min="2" max="2" width="6.07421875" style="154" customWidth="1"/>
    <col min="3" max="15" width="5.4609375" style="155" customWidth="1"/>
    <col min="16" max="16384" width="8.765625" style="155"/>
  </cols>
  <sheetData>
    <row r="2" spans="1:15" ht="102" customHeight="1">
      <c r="A2" s="153"/>
      <c r="D2" s="334" t="s">
        <v>135</v>
      </c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</row>
    <row r="3" spans="1:15" ht="33" customHeight="1">
      <c r="A3" s="335" t="s">
        <v>136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</row>
    <row r="4" spans="1:15" ht="32.5" customHeight="1" thickBot="1">
      <c r="A4" s="156" t="s">
        <v>94</v>
      </c>
      <c r="B4" s="157"/>
      <c r="C4" s="157" t="s">
        <v>95</v>
      </c>
      <c r="D4" s="157" t="s">
        <v>96</v>
      </c>
      <c r="E4" s="157" t="s">
        <v>97</v>
      </c>
      <c r="F4" s="157" t="s">
        <v>98</v>
      </c>
      <c r="G4" s="157" t="s">
        <v>99</v>
      </c>
      <c r="H4" s="157" t="s">
        <v>100</v>
      </c>
      <c r="I4" s="157" t="s">
        <v>101</v>
      </c>
      <c r="J4" s="157" t="s">
        <v>102</v>
      </c>
      <c r="K4" s="157" t="s">
        <v>103</v>
      </c>
      <c r="L4" s="157" t="s">
        <v>104</v>
      </c>
      <c r="M4" s="157" t="s">
        <v>105</v>
      </c>
      <c r="N4" s="157" t="s">
        <v>106</v>
      </c>
      <c r="O4" s="157" t="s">
        <v>107</v>
      </c>
    </row>
    <row r="5" spans="1:15" ht="20.5" customHeight="1" thickBot="1">
      <c r="A5" s="333" t="s">
        <v>66</v>
      </c>
      <c r="B5" s="158" t="s">
        <v>108</v>
      </c>
      <c r="C5" s="159" t="s">
        <v>109</v>
      </c>
      <c r="D5" s="160" t="s">
        <v>109</v>
      </c>
      <c r="E5" s="161" t="s">
        <v>109</v>
      </c>
      <c r="F5" s="160" t="s">
        <v>109</v>
      </c>
      <c r="G5" s="161" t="s">
        <v>109</v>
      </c>
      <c r="H5" s="160" t="s">
        <v>109</v>
      </c>
      <c r="I5" s="161" t="s">
        <v>109</v>
      </c>
      <c r="J5" s="160" t="s">
        <v>109</v>
      </c>
      <c r="K5" s="161" t="s">
        <v>109</v>
      </c>
      <c r="L5" s="160" t="s">
        <v>109</v>
      </c>
      <c r="M5" s="161" t="s">
        <v>109</v>
      </c>
      <c r="N5" s="160" t="s">
        <v>109</v>
      </c>
      <c r="O5" s="162" t="s">
        <v>109</v>
      </c>
    </row>
    <row r="6" spans="1:15" ht="20.5" customHeight="1" thickBot="1">
      <c r="A6" s="333"/>
      <c r="B6" s="158" t="s">
        <v>110</v>
      </c>
      <c r="C6" s="163"/>
      <c r="D6" s="164"/>
      <c r="E6" s="165" t="s">
        <v>109</v>
      </c>
      <c r="F6" s="166" t="s">
        <v>109</v>
      </c>
      <c r="G6" s="165" t="s">
        <v>109</v>
      </c>
      <c r="H6" s="166" t="s">
        <v>109</v>
      </c>
      <c r="I6" s="165" t="s">
        <v>109</v>
      </c>
      <c r="J6" s="166" t="s">
        <v>109</v>
      </c>
      <c r="K6" s="165" t="s">
        <v>109</v>
      </c>
      <c r="L6" s="166" t="s">
        <v>109</v>
      </c>
      <c r="M6" s="165" t="s">
        <v>109</v>
      </c>
      <c r="N6" s="166" t="s">
        <v>109</v>
      </c>
      <c r="O6" s="167" t="s">
        <v>109</v>
      </c>
    </row>
    <row r="7" spans="1:15" ht="20.5" customHeight="1" thickBot="1">
      <c r="A7" s="333"/>
      <c r="B7" s="158" t="s">
        <v>111</v>
      </c>
      <c r="C7" s="168"/>
      <c r="D7" s="169"/>
      <c r="E7" s="170" t="s">
        <v>109</v>
      </c>
      <c r="F7" s="171" t="s">
        <v>109</v>
      </c>
      <c r="G7" s="170" t="s">
        <v>109</v>
      </c>
      <c r="H7" s="171" t="s">
        <v>109</v>
      </c>
      <c r="I7" s="170" t="s">
        <v>109</v>
      </c>
      <c r="J7" s="171" t="s">
        <v>109</v>
      </c>
      <c r="K7" s="170" t="s">
        <v>109</v>
      </c>
      <c r="L7" s="171" t="s">
        <v>109</v>
      </c>
      <c r="M7" s="170" t="s">
        <v>109</v>
      </c>
      <c r="N7" s="171" t="s">
        <v>109</v>
      </c>
      <c r="O7" s="172" t="s">
        <v>109</v>
      </c>
    </row>
    <row r="8" spans="1:15" ht="20.5" customHeight="1" thickBot="1">
      <c r="A8" s="333" t="s">
        <v>46</v>
      </c>
      <c r="B8" s="158" t="s">
        <v>108</v>
      </c>
      <c r="C8" s="159" t="s">
        <v>109</v>
      </c>
      <c r="D8" s="160" t="s">
        <v>109</v>
      </c>
      <c r="E8" s="161" t="s">
        <v>109</v>
      </c>
      <c r="F8" s="160" t="s">
        <v>109</v>
      </c>
      <c r="G8" s="161" t="s">
        <v>109</v>
      </c>
      <c r="H8" s="160" t="s">
        <v>109</v>
      </c>
      <c r="I8" s="161" t="s">
        <v>109</v>
      </c>
      <c r="J8" s="160" t="s">
        <v>109</v>
      </c>
      <c r="K8" s="161" t="s">
        <v>109</v>
      </c>
      <c r="L8" s="160" t="s">
        <v>109</v>
      </c>
      <c r="M8" s="161" t="s">
        <v>109</v>
      </c>
      <c r="N8" s="160" t="s">
        <v>109</v>
      </c>
      <c r="O8" s="162" t="s">
        <v>109</v>
      </c>
    </row>
    <row r="9" spans="1:15" ht="20.5" customHeight="1" thickBot="1">
      <c r="A9" s="333"/>
      <c r="B9" s="158" t="s">
        <v>110</v>
      </c>
      <c r="C9" s="163"/>
      <c r="D9" s="164"/>
      <c r="E9" s="173"/>
      <c r="F9" s="164"/>
      <c r="G9" s="173"/>
      <c r="H9" s="164"/>
      <c r="I9" s="173"/>
      <c r="J9" s="164"/>
      <c r="K9" s="173"/>
      <c r="L9" s="164"/>
      <c r="M9" s="173"/>
      <c r="N9" s="164"/>
      <c r="O9" s="174"/>
    </row>
    <row r="10" spans="1:15" ht="20.5" customHeight="1" thickBot="1">
      <c r="A10" s="333"/>
      <c r="B10" s="158" t="s">
        <v>111</v>
      </c>
      <c r="C10" s="168"/>
      <c r="D10" s="169"/>
      <c r="E10" s="175"/>
      <c r="F10" s="169"/>
      <c r="G10" s="175"/>
      <c r="H10" s="169"/>
      <c r="I10" s="175"/>
      <c r="J10" s="169"/>
      <c r="K10" s="175"/>
      <c r="L10" s="169"/>
      <c r="M10" s="175"/>
      <c r="N10" s="169"/>
      <c r="O10" s="176"/>
    </row>
    <row r="11" spans="1:15" ht="20.5" customHeight="1" thickBot="1">
      <c r="A11" s="333" t="s">
        <v>44</v>
      </c>
      <c r="B11" s="158" t="s">
        <v>108</v>
      </c>
      <c r="C11" s="177" t="s">
        <v>109</v>
      </c>
      <c r="D11" s="178" t="s">
        <v>109</v>
      </c>
      <c r="E11" s="179" t="s">
        <v>109</v>
      </c>
      <c r="F11" s="178" t="s">
        <v>109</v>
      </c>
      <c r="G11" s="179" t="s">
        <v>109</v>
      </c>
      <c r="H11" s="178" t="s">
        <v>109</v>
      </c>
      <c r="I11" s="179" t="s">
        <v>109</v>
      </c>
      <c r="J11" s="178" t="s">
        <v>109</v>
      </c>
      <c r="K11" s="179" t="s">
        <v>109</v>
      </c>
      <c r="L11" s="178" t="s">
        <v>109</v>
      </c>
      <c r="M11" s="179" t="s">
        <v>109</v>
      </c>
      <c r="N11" s="178" t="s">
        <v>109</v>
      </c>
      <c r="O11" s="180" t="s">
        <v>109</v>
      </c>
    </row>
    <row r="12" spans="1:15" ht="20.5" customHeight="1" thickBot="1">
      <c r="A12" s="333"/>
      <c r="B12" s="158" t="s">
        <v>110</v>
      </c>
      <c r="C12" s="181" t="s">
        <v>109</v>
      </c>
      <c r="D12" s="166" t="s">
        <v>109</v>
      </c>
      <c r="E12" s="165" t="s">
        <v>109</v>
      </c>
      <c r="F12" s="166" t="s">
        <v>109</v>
      </c>
      <c r="G12" s="165" t="s">
        <v>109</v>
      </c>
      <c r="H12" s="166" t="s">
        <v>109</v>
      </c>
      <c r="I12" s="165" t="s">
        <v>109</v>
      </c>
      <c r="J12" s="166" t="s">
        <v>109</v>
      </c>
      <c r="K12" s="165" t="s">
        <v>109</v>
      </c>
      <c r="L12" s="166" t="s">
        <v>109</v>
      </c>
      <c r="M12" s="165" t="s">
        <v>109</v>
      </c>
      <c r="N12" s="166" t="s">
        <v>109</v>
      </c>
      <c r="O12" s="167" t="s">
        <v>109</v>
      </c>
    </row>
    <row r="13" spans="1:15" ht="20.5" customHeight="1" thickBot="1">
      <c r="A13" s="333"/>
      <c r="B13" s="158" t="s">
        <v>111</v>
      </c>
      <c r="C13" s="182"/>
      <c r="D13" s="183"/>
      <c r="E13" s="179" t="s">
        <v>109</v>
      </c>
      <c r="F13" s="178" t="s">
        <v>109</v>
      </c>
      <c r="G13" s="179" t="s">
        <v>109</v>
      </c>
      <c r="H13" s="178" t="s">
        <v>109</v>
      </c>
      <c r="I13" s="179" t="s">
        <v>109</v>
      </c>
      <c r="J13" s="178" t="s">
        <v>109</v>
      </c>
      <c r="K13" s="179" t="s">
        <v>109</v>
      </c>
      <c r="L13" s="178" t="s">
        <v>109</v>
      </c>
      <c r="M13" s="179" t="s">
        <v>109</v>
      </c>
      <c r="N13" s="178" t="s">
        <v>109</v>
      </c>
      <c r="O13" s="180" t="s">
        <v>109</v>
      </c>
    </row>
    <row r="14" spans="1:15" ht="20.5" customHeight="1" thickBot="1">
      <c r="A14" s="336" t="s">
        <v>112</v>
      </c>
      <c r="B14" s="158" t="s">
        <v>108</v>
      </c>
      <c r="C14" s="184" t="s">
        <v>109</v>
      </c>
      <c r="D14" s="185" t="s">
        <v>109</v>
      </c>
      <c r="E14" s="186" t="s">
        <v>109</v>
      </c>
      <c r="F14" s="185" t="s">
        <v>109</v>
      </c>
      <c r="G14" s="186" t="s">
        <v>109</v>
      </c>
      <c r="H14" s="185" t="s">
        <v>109</v>
      </c>
      <c r="I14" s="186" t="s">
        <v>109</v>
      </c>
      <c r="J14" s="185" t="s">
        <v>109</v>
      </c>
      <c r="K14" s="186" t="s">
        <v>109</v>
      </c>
      <c r="L14" s="185" t="s">
        <v>109</v>
      </c>
      <c r="M14" s="186" t="s">
        <v>109</v>
      </c>
      <c r="N14" s="185" t="s">
        <v>109</v>
      </c>
      <c r="O14" s="187" t="s">
        <v>109</v>
      </c>
    </row>
    <row r="15" spans="1:15" ht="20.5" customHeight="1" thickBot="1">
      <c r="A15" s="337"/>
      <c r="B15" s="158" t="s">
        <v>110</v>
      </c>
      <c r="C15" s="181" t="s">
        <v>109</v>
      </c>
      <c r="D15" s="166" t="s">
        <v>109</v>
      </c>
      <c r="E15" s="165" t="s">
        <v>109</v>
      </c>
      <c r="F15" s="166" t="s">
        <v>109</v>
      </c>
      <c r="G15" s="165" t="s">
        <v>109</v>
      </c>
      <c r="H15" s="166" t="s">
        <v>109</v>
      </c>
      <c r="I15" s="165" t="s">
        <v>109</v>
      </c>
      <c r="J15" s="166" t="s">
        <v>109</v>
      </c>
      <c r="K15" s="165" t="s">
        <v>109</v>
      </c>
      <c r="L15" s="166" t="s">
        <v>109</v>
      </c>
      <c r="M15" s="165" t="s">
        <v>109</v>
      </c>
      <c r="N15" s="166" t="s">
        <v>109</v>
      </c>
      <c r="O15" s="167" t="s">
        <v>109</v>
      </c>
    </row>
    <row r="16" spans="1:15" ht="20.5" customHeight="1" thickBot="1">
      <c r="A16" s="338"/>
      <c r="B16" s="158" t="s">
        <v>111</v>
      </c>
      <c r="C16" s="168"/>
      <c r="D16" s="169"/>
      <c r="E16" s="170" t="s">
        <v>109</v>
      </c>
      <c r="F16" s="188" t="s">
        <v>109</v>
      </c>
      <c r="G16" s="170" t="s">
        <v>109</v>
      </c>
      <c r="H16" s="171" t="s">
        <v>109</v>
      </c>
      <c r="I16" s="170" t="s">
        <v>109</v>
      </c>
      <c r="J16" s="171" t="s">
        <v>109</v>
      </c>
      <c r="K16" s="170" t="s">
        <v>109</v>
      </c>
      <c r="L16" s="171" t="s">
        <v>109</v>
      </c>
      <c r="M16" s="170" t="s">
        <v>109</v>
      </c>
      <c r="N16" s="171" t="s">
        <v>109</v>
      </c>
      <c r="O16" s="172" t="s">
        <v>109</v>
      </c>
    </row>
    <row r="17" spans="1:15" ht="20.5" customHeight="1" thickBot="1">
      <c r="A17" s="333" t="s">
        <v>62</v>
      </c>
      <c r="B17" s="158" t="s">
        <v>108</v>
      </c>
      <c r="C17" s="159" t="s">
        <v>109</v>
      </c>
      <c r="D17" s="160" t="s">
        <v>109</v>
      </c>
      <c r="E17" s="161" t="s">
        <v>109</v>
      </c>
      <c r="F17" s="160" t="s">
        <v>109</v>
      </c>
      <c r="G17" s="161" t="s">
        <v>109</v>
      </c>
      <c r="H17" s="160" t="s">
        <v>109</v>
      </c>
      <c r="I17" s="161" t="s">
        <v>109</v>
      </c>
      <c r="J17" s="160" t="s">
        <v>109</v>
      </c>
      <c r="K17" s="161" t="s">
        <v>109</v>
      </c>
      <c r="L17" s="160" t="s">
        <v>109</v>
      </c>
      <c r="M17" s="161" t="s">
        <v>109</v>
      </c>
      <c r="N17" s="160" t="s">
        <v>109</v>
      </c>
      <c r="O17" s="162" t="s">
        <v>109</v>
      </c>
    </row>
    <row r="18" spans="1:15" ht="20.5" customHeight="1" thickBot="1">
      <c r="A18" s="333"/>
      <c r="B18" s="158" t="s">
        <v>110</v>
      </c>
      <c r="C18" s="181" t="s">
        <v>109</v>
      </c>
      <c r="D18" s="166" t="s">
        <v>109</v>
      </c>
      <c r="E18" s="165" t="s">
        <v>109</v>
      </c>
      <c r="F18" s="166" t="s">
        <v>109</v>
      </c>
      <c r="G18" s="165" t="s">
        <v>109</v>
      </c>
      <c r="H18" s="166" t="s">
        <v>109</v>
      </c>
      <c r="I18" s="165" t="s">
        <v>109</v>
      </c>
      <c r="J18" s="166" t="s">
        <v>109</v>
      </c>
      <c r="K18" s="165" t="s">
        <v>109</v>
      </c>
      <c r="L18" s="166" t="s">
        <v>109</v>
      </c>
      <c r="M18" s="165" t="s">
        <v>109</v>
      </c>
      <c r="N18" s="166" t="s">
        <v>109</v>
      </c>
      <c r="O18" s="167" t="s">
        <v>109</v>
      </c>
    </row>
    <row r="19" spans="1:15" ht="20.5" customHeight="1" thickBot="1">
      <c r="A19" s="333"/>
      <c r="B19" s="158" t="s">
        <v>111</v>
      </c>
      <c r="C19" s="168"/>
      <c r="D19" s="169"/>
      <c r="E19" s="170" t="s">
        <v>109</v>
      </c>
      <c r="F19" s="171" t="s">
        <v>109</v>
      </c>
      <c r="G19" s="170" t="s">
        <v>109</v>
      </c>
      <c r="H19" s="171" t="s">
        <v>109</v>
      </c>
      <c r="I19" s="170" t="s">
        <v>109</v>
      </c>
      <c r="J19" s="171" t="s">
        <v>109</v>
      </c>
      <c r="K19" s="170" t="s">
        <v>109</v>
      </c>
      <c r="L19" s="171" t="s">
        <v>109</v>
      </c>
      <c r="M19" s="170" t="s">
        <v>109</v>
      </c>
      <c r="N19" s="171" t="s">
        <v>109</v>
      </c>
      <c r="O19" s="172" t="s">
        <v>109</v>
      </c>
    </row>
    <row r="20" spans="1:15" ht="20.5" customHeight="1" thickBot="1">
      <c r="A20" s="339" t="s">
        <v>63</v>
      </c>
      <c r="B20" s="158" t="s">
        <v>108</v>
      </c>
      <c r="C20" s="189" t="s">
        <v>109</v>
      </c>
      <c r="D20" s="190" t="s">
        <v>109</v>
      </c>
      <c r="E20" s="191" t="s">
        <v>109</v>
      </c>
      <c r="F20" s="190" t="s">
        <v>109</v>
      </c>
      <c r="G20" s="192" t="s">
        <v>109</v>
      </c>
      <c r="H20" s="190" t="s">
        <v>109</v>
      </c>
      <c r="I20" s="191" t="s">
        <v>109</v>
      </c>
      <c r="J20" s="193" t="s">
        <v>109</v>
      </c>
      <c r="K20" s="191" t="s">
        <v>109</v>
      </c>
      <c r="L20" s="193" t="s">
        <v>109</v>
      </c>
      <c r="M20" s="191" t="s">
        <v>109</v>
      </c>
      <c r="N20" s="193" t="s">
        <v>109</v>
      </c>
      <c r="O20" s="194" t="s">
        <v>109</v>
      </c>
    </row>
    <row r="21" spans="1:15" ht="20.5" customHeight="1" thickBot="1">
      <c r="A21" s="340"/>
      <c r="B21" s="158" t="s">
        <v>110</v>
      </c>
      <c r="C21" s="195" t="s">
        <v>109</v>
      </c>
      <c r="D21" s="196" t="s">
        <v>109</v>
      </c>
      <c r="E21" s="197" t="s">
        <v>109</v>
      </c>
      <c r="F21" s="196" t="s">
        <v>109</v>
      </c>
      <c r="G21" s="198" t="s">
        <v>109</v>
      </c>
      <c r="H21" s="196" t="s">
        <v>109</v>
      </c>
      <c r="I21" s="197" t="s">
        <v>109</v>
      </c>
      <c r="J21" s="199" t="s">
        <v>109</v>
      </c>
      <c r="K21" s="197" t="s">
        <v>109</v>
      </c>
      <c r="L21" s="199" t="s">
        <v>109</v>
      </c>
      <c r="M21" s="197" t="s">
        <v>109</v>
      </c>
      <c r="N21" s="199" t="s">
        <v>109</v>
      </c>
      <c r="O21" s="200" t="s">
        <v>109</v>
      </c>
    </row>
    <row r="22" spans="1:15" ht="20.5" customHeight="1" thickBot="1">
      <c r="A22" s="341"/>
      <c r="B22" s="158" t="s">
        <v>111</v>
      </c>
      <c r="C22" s="168"/>
      <c r="D22" s="169"/>
      <c r="E22" s="175"/>
      <c r="F22" s="169"/>
      <c r="G22" s="175"/>
      <c r="H22" s="169"/>
      <c r="I22" s="175"/>
      <c r="J22" s="169"/>
      <c r="K22" s="175"/>
      <c r="L22" s="169"/>
      <c r="M22" s="175"/>
      <c r="N22" s="169"/>
      <c r="O22" s="176"/>
    </row>
    <row r="23" spans="1:15" ht="20.5" customHeight="1" thickBot="1">
      <c r="A23" s="339" t="s">
        <v>64</v>
      </c>
      <c r="B23" s="158" t="s">
        <v>108</v>
      </c>
      <c r="C23" s="159" t="s">
        <v>109</v>
      </c>
      <c r="D23" s="160" t="s">
        <v>109</v>
      </c>
      <c r="E23" s="161" t="s">
        <v>109</v>
      </c>
      <c r="F23" s="160" t="s">
        <v>109</v>
      </c>
      <c r="G23" s="161" t="s">
        <v>109</v>
      </c>
      <c r="H23" s="160" t="s">
        <v>109</v>
      </c>
      <c r="I23" s="161" t="s">
        <v>109</v>
      </c>
      <c r="J23" s="160" t="s">
        <v>109</v>
      </c>
      <c r="K23" s="161" t="s">
        <v>109</v>
      </c>
      <c r="L23" s="160" t="s">
        <v>109</v>
      </c>
      <c r="M23" s="161" t="s">
        <v>109</v>
      </c>
      <c r="N23" s="160" t="s">
        <v>109</v>
      </c>
      <c r="O23" s="162" t="s">
        <v>109</v>
      </c>
    </row>
    <row r="24" spans="1:15" ht="20.5" customHeight="1" thickBot="1">
      <c r="A24" s="340"/>
      <c r="B24" s="158" t="s">
        <v>110</v>
      </c>
      <c r="C24" s="181" t="s">
        <v>109</v>
      </c>
      <c r="D24" s="166" t="s">
        <v>109</v>
      </c>
      <c r="E24" s="165" t="s">
        <v>109</v>
      </c>
      <c r="F24" s="166" t="s">
        <v>109</v>
      </c>
      <c r="G24" s="165" t="s">
        <v>109</v>
      </c>
      <c r="H24" s="166" t="s">
        <v>109</v>
      </c>
      <c r="I24" s="165" t="s">
        <v>109</v>
      </c>
      <c r="J24" s="166" t="s">
        <v>109</v>
      </c>
      <c r="K24" s="165" t="s">
        <v>109</v>
      </c>
      <c r="L24" s="166" t="s">
        <v>109</v>
      </c>
      <c r="M24" s="165" t="s">
        <v>109</v>
      </c>
      <c r="N24" s="166" t="s">
        <v>109</v>
      </c>
      <c r="O24" s="167" t="s">
        <v>109</v>
      </c>
    </row>
    <row r="25" spans="1:15" ht="20.5" customHeight="1" thickBot="1">
      <c r="A25" s="341"/>
      <c r="B25" s="158" t="s">
        <v>111</v>
      </c>
      <c r="C25" s="168"/>
      <c r="D25" s="169"/>
      <c r="E25" s="170" t="s">
        <v>109</v>
      </c>
      <c r="F25" s="171" t="s">
        <v>109</v>
      </c>
      <c r="G25" s="170" t="s">
        <v>109</v>
      </c>
      <c r="H25" s="171" t="s">
        <v>109</v>
      </c>
      <c r="I25" s="170" t="s">
        <v>109</v>
      </c>
      <c r="J25" s="171" t="s">
        <v>109</v>
      </c>
      <c r="K25" s="170" t="s">
        <v>109</v>
      </c>
      <c r="L25" s="171" t="s">
        <v>109</v>
      </c>
      <c r="M25" s="170" t="s">
        <v>109</v>
      </c>
      <c r="N25" s="171" t="s">
        <v>109</v>
      </c>
      <c r="O25" s="172" t="s">
        <v>109</v>
      </c>
    </row>
    <row r="26" spans="1:15" ht="20.5" customHeight="1" thickBot="1">
      <c r="A26" s="333" t="s">
        <v>65</v>
      </c>
      <c r="B26" s="158" t="s">
        <v>108</v>
      </c>
      <c r="C26" s="159" t="s">
        <v>109</v>
      </c>
      <c r="D26" s="160" t="s">
        <v>109</v>
      </c>
      <c r="E26" s="161" t="s">
        <v>109</v>
      </c>
      <c r="F26" s="160" t="s">
        <v>109</v>
      </c>
      <c r="G26" s="161" t="s">
        <v>109</v>
      </c>
      <c r="H26" s="160" t="s">
        <v>109</v>
      </c>
      <c r="I26" s="161" t="s">
        <v>109</v>
      </c>
      <c r="J26" s="160" t="s">
        <v>109</v>
      </c>
      <c r="K26" s="161" t="s">
        <v>109</v>
      </c>
      <c r="L26" s="160" t="s">
        <v>109</v>
      </c>
      <c r="M26" s="161" t="s">
        <v>109</v>
      </c>
      <c r="N26" s="160" t="s">
        <v>109</v>
      </c>
      <c r="O26" s="162" t="s">
        <v>109</v>
      </c>
    </row>
    <row r="27" spans="1:15" ht="20.5" customHeight="1" thickBot="1">
      <c r="A27" s="333"/>
      <c r="B27" s="158" t="s">
        <v>110</v>
      </c>
      <c r="C27" s="201" t="s">
        <v>109</v>
      </c>
      <c r="D27" s="202" t="s">
        <v>109</v>
      </c>
      <c r="E27" s="203" t="s">
        <v>109</v>
      </c>
      <c r="F27" s="202" t="s">
        <v>109</v>
      </c>
      <c r="G27" s="203" t="s">
        <v>109</v>
      </c>
      <c r="H27" s="202" t="s">
        <v>109</v>
      </c>
      <c r="I27" s="203" t="s">
        <v>109</v>
      </c>
      <c r="J27" s="202" t="s">
        <v>109</v>
      </c>
      <c r="K27" s="203" t="s">
        <v>109</v>
      </c>
      <c r="L27" s="202" t="s">
        <v>109</v>
      </c>
      <c r="M27" s="203" t="s">
        <v>109</v>
      </c>
      <c r="N27" s="202" t="s">
        <v>109</v>
      </c>
      <c r="O27" s="204" t="s">
        <v>109</v>
      </c>
    </row>
    <row r="28" spans="1:15" ht="20.5" customHeight="1" thickBot="1">
      <c r="A28" s="333"/>
      <c r="B28" s="158" t="s">
        <v>111</v>
      </c>
      <c r="C28" s="168"/>
      <c r="D28" s="169"/>
      <c r="E28" s="170" t="s">
        <v>109</v>
      </c>
      <c r="F28" s="171" t="s">
        <v>109</v>
      </c>
      <c r="G28" s="170" t="s">
        <v>109</v>
      </c>
      <c r="H28" s="171" t="s">
        <v>109</v>
      </c>
      <c r="I28" s="170" t="s">
        <v>109</v>
      </c>
      <c r="J28" s="171" t="s">
        <v>109</v>
      </c>
      <c r="K28" s="170" t="s">
        <v>109</v>
      </c>
      <c r="L28" s="171" t="s">
        <v>109</v>
      </c>
      <c r="M28" s="170" t="s">
        <v>109</v>
      </c>
      <c r="N28" s="171" t="s">
        <v>109</v>
      </c>
      <c r="O28" s="172" t="s">
        <v>109</v>
      </c>
    </row>
    <row r="29" spans="1:15" ht="20.5" customHeight="1" thickBot="1">
      <c r="A29" s="333" t="s">
        <v>113</v>
      </c>
      <c r="B29" s="158" t="s">
        <v>108</v>
      </c>
      <c r="C29" s="159" t="s">
        <v>109</v>
      </c>
      <c r="D29" s="160" t="s">
        <v>109</v>
      </c>
      <c r="E29" s="161" t="s">
        <v>109</v>
      </c>
      <c r="F29" s="160" t="s">
        <v>109</v>
      </c>
      <c r="G29" s="161" t="s">
        <v>109</v>
      </c>
      <c r="H29" s="160" t="s">
        <v>109</v>
      </c>
      <c r="I29" s="161" t="s">
        <v>109</v>
      </c>
      <c r="J29" s="160" t="s">
        <v>109</v>
      </c>
      <c r="K29" s="161" t="s">
        <v>109</v>
      </c>
      <c r="L29" s="160" t="s">
        <v>109</v>
      </c>
      <c r="M29" s="161" t="s">
        <v>109</v>
      </c>
      <c r="N29" s="160" t="s">
        <v>109</v>
      </c>
      <c r="O29" s="162" t="s">
        <v>109</v>
      </c>
    </row>
    <row r="30" spans="1:15" ht="20.5" customHeight="1" thickBot="1">
      <c r="A30" s="333"/>
      <c r="B30" s="158" t="s">
        <v>110</v>
      </c>
      <c r="C30" s="163"/>
      <c r="D30" s="164"/>
      <c r="E30" s="165" t="s">
        <v>109</v>
      </c>
      <c r="F30" s="166" t="s">
        <v>109</v>
      </c>
      <c r="G30" s="165" t="s">
        <v>109</v>
      </c>
      <c r="H30" s="166" t="s">
        <v>109</v>
      </c>
      <c r="I30" s="165" t="s">
        <v>109</v>
      </c>
      <c r="J30" s="166" t="s">
        <v>109</v>
      </c>
      <c r="K30" s="165" t="s">
        <v>109</v>
      </c>
      <c r="L30" s="166" t="s">
        <v>109</v>
      </c>
      <c r="M30" s="165" t="s">
        <v>109</v>
      </c>
      <c r="N30" s="166" t="s">
        <v>109</v>
      </c>
      <c r="O30" s="167" t="s">
        <v>109</v>
      </c>
    </row>
    <row r="31" spans="1:15" ht="20.5" customHeight="1" thickBot="1">
      <c r="A31" s="333"/>
      <c r="B31" s="158" t="s">
        <v>111</v>
      </c>
      <c r="C31" s="168"/>
      <c r="D31" s="169"/>
      <c r="E31" s="170" t="s">
        <v>109</v>
      </c>
      <c r="F31" s="171" t="s">
        <v>109</v>
      </c>
      <c r="G31" s="170" t="s">
        <v>109</v>
      </c>
      <c r="H31" s="171" t="s">
        <v>109</v>
      </c>
      <c r="I31" s="170" t="s">
        <v>109</v>
      </c>
      <c r="J31" s="171" t="s">
        <v>109</v>
      </c>
      <c r="K31" s="170" t="s">
        <v>109</v>
      </c>
      <c r="L31" s="171" t="s">
        <v>109</v>
      </c>
      <c r="M31" s="170" t="s">
        <v>109</v>
      </c>
      <c r="N31" s="171" t="s">
        <v>109</v>
      </c>
      <c r="O31" s="172" t="s">
        <v>109</v>
      </c>
    </row>
    <row r="32" spans="1:15" ht="20.5" customHeight="1" thickBot="1">
      <c r="A32" s="333" t="s">
        <v>114</v>
      </c>
      <c r="B32" s="158" t="s">
        <v>108</v>
      </c>
      <c r="C32" s="159" t="s">
        <v>109</v>
      </c>
      <c r="D32" s="160" t="s">
        <v>109</v>
      </c>
      <c r="E32" s="161" t="s">
        <v>109</v>
      </c>
      <c r="F32" s="160" t="s">
        <v>109</v>
      </c>
      <c r="G32" s="161" t="s">
        <v>109</v>
      </c>
      <c r="H32" s="160" t="s">
        <v>109</v>
      </c>
      <c r="I32" s="161" t="s">
        <v>109</v>
      </c>
      <c r="J32" s="160" t="s">
        <v>109</v>
      </c>
      <c r="K32" s="161" t="s">
        <v>109</v>
      </c>
      <c r="L32" s="160" t="s">
        <v>109</v>
      </c>
      <c r="M32" s="161" t="s">
        <v>109</v>
      </c>
      <c r="N32" s="160" t="s">
        <v>109</v>
      </c>
      <c r="O32" s="162" t="s">
        <v>109</v>
      </c>
    </row>
    <row r="33" spans="1:15" ht="20.5" customHeight="1" thickBot="1">
      <c r="A33" s="333"/>
      <c r="B33" s="158" t="s">
        <v>110</v>
      </c>
      <c r="C33" s="163"/>
      <c r="D33" s="164"/>
      <c r="E33" s="173"/>
      <c r="F33" s="166" t="s">
        <v>109</v>
      </c>
      <c r="G33" s="165" t="s">
        <v>109</v>
      </c>
      <c r="H33" s="166" t="s">
        <v>109</v>
      </c>
      <c r="I33" s="165" t="s">
        <v>109</v>
      </c>
      <c r="J33" s="166" t="s">
        <v>109</v>
      </c>
      <c r="K33" s="165" t="s">
        <v>109</v>
      </c>
      <c r="L33" s="166" t="s">
        <v>109</v>
      </c>
      <c r="M33" s="165" t="s">
        <v>109</v>
      </c>
      <c r="N33" s="166" t="s">
        <v>109</v>
      </c>
      <c r="O33" s="167" t="s">
        <v>109</v>
      </c>
    </row>
    <row r="34" spans="1:15" ht="20.5" customHeight="1" thickBot="1">
      <c r="A34" s="333"/>
      <c r="B34" s="158" t="s">
        <v>111</v>
      </c>
      <c r="C34" s="168"/>
      <c r="D34" s="169"/>
      <c r="E34" s="170" t="s">
        <v>109</v>
      </c>
      <c r="F34" s="171" t="s">
        <v>109</v>
      </c>
      <c r="G34" s="170" t="s">
        <v>109</v>
      </c>
      <c r="H34" s="171" t="s">
        <v>109</v>
      </c>
      <c r="I34" s="170" t="s">
        <v>109</v>
      </c>
      <c r="J34" s="171" t="s">
        <v>109</v>
      </c>
      <c r="K34" s="170" t="s">
        <v>109</v>
      </c>
      <c r="L34" s="171" t="s">
        <v>109</v>
      </c>
      <c r="M34" s="170" t="s">
        <v>109</v>
      </c>
      <c r="N34" s="171" t="s">
        <v>109</v>
      </c>
      <c r="O34" s="172" t="s">
        <v>109</v>
      </c>
    </row>
    <row r="35" spans="1:15" ht="15.75" customHeight="1">
      <c r="A35" s="205"/>
      <c r="B35" s="206"/>
      <c r="C35" s="342" t="s">
        <v>115</v>
      </c>
      <c r="D35" s="343"/>
      <c r="E35" s="343"/>
      <c r="F35" s="343"/>
      <c r="G35" s="343"/>
      <c r="H35" s="343"/>
      <c r="I35" s="343"/>
      <c r="J35" s="343"/>
      <c r="K35" s="343"/>
      <c r="L35" s="343"/>
      <c r="M35" s="343"/>
      <c r="N35" s="343"/>
      <c r="O35" s="344"/>
    </row>
    <row r="36" spans="1:15" ht="15.75" customHeight="1" thickBot="1">
      <c r="A36" s="207"/>
      <c r="B36" s="208" t="s">
        <v>116</v>
      </c>
      <c r="C36" s="345" t="s">
        <v>117</v>
      </c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7"/>
    </row>
    <row r="37" spans="1:15" ht="15.75" customHeight="1">
      <c r="C37" s="71"/>
      <c r="D37" s="209"/>
      <c r="E37" s="210"/>
      <c r="M37" s="211"/>
      <c r="N37" s="209"/>
      <c r="O37" s="209"/>
    </row>
    <row r="38" spans="1:15" ht="15.75" customHeight="1">
      <c r="C38" s="71"/>
      <c r="D38" s="209"/>
      <c r="E38" s="210"/>
    </row>
    <row r="39" spans="1:15" ht="15.75" customHeight="1">
      <c r="C39" s="71"/>
      <c r="D39" s="209"/>
      <c r="E39" s="210"/>
      <c r="M39" s="212"/>
    </row>
    <row r="40" spans="1:15" ht="15.75" customHeight="1">
      <c r="C40" s="71"/>
      <c r="D40" s="209"/>
      <c r="E40" s="210"/>
    </row>
    <row r="41" spans="1:15" ht="18" hidden="1" customHeight="1">
      <c r="C41" s="210" t="s">
        <v>118</v>
      </c>
    </row>
    <row r="42" spans="1:15" ht="18" hidden="1" customHeight="1">
      <c r="C42" s="210"/>
    </row>
    <row r="43" spans="1:15" ht="18" hidden="1" customHeight="1">
      <c r="A43" s="213">
        <v>43174</v>
      </c>
      <c r="C43" s="214" t="s">
        <v>119</v>
      </c>
    </row>
    <row r="44" spans="1:15" ht="18" hidden="1" customHeight="1">
      <c r="A44" s="213">
        <v>43047</v>
      </c>
      <c r="C44" s="214" t="s">
        <v>120</v>
      </c>
    </row>
    <row r="45" spans="1:15" ht="18" hidden="1" customHeight="1">
      <c r="A45" s="213">
        <v>42480</v>
      </c>
      <c r="C45" s="214" t="s">
        <v>121</v>
      </c>
    </row>
    <row r="46" spans="1:15" ht="18" hidden="1" customHeight="1">
      <c r="A46" s="213">
        <v>42480</v>
      </c>
      <c r="C46" s="214" t="s">
        <v>122</v>
      </c>
    </row>
    <row r="47" spans="1:15" ht="18" hidden="1" customHeight="1">
      <c r="A47" s="213">
        <v>42376</v>
      </c>
      <c r="C47" s="214" t="s">
        <v>123</v>
      </c>
    </row>
    <row r="48" spans="1:15" ht="25.5" hidden="1" customHeight="1">
      <c r="A48" s="348">
        <v>41593</v>
      </c>
      <c r="B48" s="349"/>
      <c r="C48" s="350" t="s">
        <v>124</v>
      </c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</row>
    <row r="49" spans="1:15" ht="18" hidden="1" customHeight="1">
      <c r="A49" s="348">
        <v>41240</v>
      </c>
      <c r="B49" s="349"/>
      <c r="C49" s="350" t="s">
        <v>125</v>
      </c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</row>
    <row r="50" spans="1:15" ht="28.5" hidden="1" customHeight="1">
      <c r="A50" s="348">
        <v>41240</v>
      </c>
      <c r="B50" s="349"/>
      <c r="C50" s="350" t="s">
        <v>126</v>
      </c>
      <c r="D50" s="351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</row>
    <row r="51" spans="1:15" ht="18" hidden="1" customHeight="1">
      <c r="A51" s="348">
        <v>41240</v>
      </c>
      <c r="B51" s="349"/>
      <c r="C51" s="350" t="s">
        <v>127</v>
      </c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</row>
    <row r="52" spans="1:15" ht="18" hidden="1" customHeight="1">
      <c r="A52" s="348">
        <v>41240</v>
      </c>
      <c r="B52" s="349"/>
      <c r="C52" s="350" t="s">
        <v>128</v>
      </c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</row>
    <row r="53" spans="1:15" ht="18" hidden="1" customHeight="1">
      <c r="A53" s="348">
        <v>41240</v>
      </c>
      <c r="B53" s="349"/>
      <c r="C53" s="350" t="s">
        <v>129</v>
      </c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</row>
    <row r="54" spans="1:15" ht="18" hidden="1" customHeight="1">
      <c r="A54" s="348">
        <v>41240</v>
      </c>
      <c r="B54" s="349"/>
      <c r="C54" s="350" t="s">
        <v>130</v>
      </c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</row>
    <row r="55" spans="1:15" ht="18" hidden="1" customHeight="1">
      <c r="A55" s="348">
        <v>41240</v>
      </c>
      <c r="B55" s="349"/>
      <c r="C55" s="350" t="s">
        <v>131</v>
      </c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</row>
    <row r="56" spans="1:15" hidden="1"/>
    <row r="57" spans="1:15" hidden="1"/>
    <row r="58" spans="1:15" hidden="1"/>
    <row r="59" spans="1:15" hidden="1"/>
  </sheetData>
  <mergeCells count="30">
    <mergeCell ref="A53:B53"/>
    <mergeCell ref="C53:O53"/>
    <mergeCell ref="A54:B54"/>
    <mergeCell ref="C54:O54"/>
    <mergeCell ref="A55:B55"/>
    <mergeCell ref="C55:O55"/>
    <mergeCell ref="A50:B50"/>
    <mergeCell ref="C50:O50"/>
    <mergeCell ref="A51:B51"/>
    <mergeCell ref="C51:O51"/>
    <mergeCell ref="A52:B52"/>
    <mergeCell ref="C52:O52"/>
    <mergeCell ref="C35:O35"/>
    <mergeCell ref="C36:O36"/>
    <mergeCell ref="A48:B48"/>
    <mergeCell ref="C48:O48"/>
    <mergeCell ref="A49:B49"/>
    <mergeCell ref="C49:O49"/>
    <mergeCell ref="A32:A34"/>
    <mergeCell ref="D2:O2"/>
    <mergeCell ref="A3:O3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</mergeCells>
  <printOptions horizontalCentered="1"/>
  <pageMargins left="0.23622047244094499" right="0.23622047244094499" top="0.55118110236220497" bottom="0" header="0.31496062992126" footer="0.118110236220472"/>
  <pageSetup scale="67" orientation="portrait" r:id="rId1"/>
  <headerFooter>
    <oddFooter>&amp;L&amp;P&amp;RMay 4, 2025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21E4-6D8D-4626-8851-98EF3F59EFE0}">
  <sheetPr>
    <tabColor theme="9" tint="0.59999389629810485"/>
    <pageSetUpPr fitToPage="1"/>
  </sheetPr>
  <dimension ref="A1:O59"/>
  <sheetViews>
    <sheetView view="pageBreakPreview" zoomScale="90" zoomScaleNormal="100" zoomScaleSheetLayoutView="90" workbookViewId="0">
      <selection activeCell="A8" sqref="A8"/>
    </sheetView>
  </sheetViews>
  <sheetFormatPr defaultColWidth="8.765625" defaultRowHeight="15.5"/>
  <cols>
    <col min="1" max="1" width="3.3046875" style="3" customWidth="1"/>
    <col min="2" max="2" width="13.765625" style="3" customWidth="1"/>
    <col min="3" max="3" width="4.765625" style="3" customWidth="1"/>
    <col min="4" max="13" width="5" style="3" customWidth="1"/>
    <col min="14" max="14" width="8.765625" style="3" hidden="1" customWidth="1"/>
    <col min="15" max="15" width="3.765625" style="3" customWidth="1"/>
    <col min="16" max="16384" width="8.765625" style="3"/>
  </cols>
  <sheetData>
    <row r="1" spans="1:15" s="155" customFormat="1" ht="13">
      <c r="C1" s="154"/>
    </row>
    <row r="2" spans="1:15" s="155" customFormat="1" ht="97" customHeight="1">
      <c r="B2" s="153"/>
      <c r="C2" s="154"/>
      <c r="D2" s="353" t="s">
        <v>135</v>
      </c>
      <c r="E2" s="354"/>
      <c r="F2" s="354"/>
      <c r="G2" s="354"/>
      <c r="H2" s="354"/>
      <c r="I2" s="354"/>
      <c r="J2" s="354"/>
      <c r="K2" s="354"/>
      <c r="L2" s="354"/>
      <c r="M2" s="354"/>
      <c r="N2" s="354"/>
    </row>
    <row r="3" spans="1:15" ht="48" customHeight="1">
      <c r="A3" s="355" t="s">
        <v>137</v>
      </c>
      <c r="B3" s="356"/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  <c r="O3" s="356"/>
    </row>
    <row r="4" spans="1:15" ht="15" customHeight="1" thickBot="1">
      <c r="A4" s="155"/>
      <c r="B4" s="215" t="s">
        <v>94</v>
      </c>
      <c r="C4" s="154"/>
      <c r="D4" s="154" t="s">
        <v>98</v>
      </c>
      <c r="E4" s="154" t="s">
        <v>99</v>
      </c>
      <c r="F4" s="154" t="s">
        <v>100</v>
      </c>
      <c r="G4" s="154" t="s">
        <v>101</v>
      </c>
      <c r="H4" s="154" t="s">
        <v>102</v>
      </c>
      <c r="I4" s="154" t="s">
        <v>103</v>
      </c>
      <c r="J4" s="154" t="s">
        <v>104</v>
      </c>
      <c r="K4" s="154" t="s">
        <v>105</v>
      </c>
      <c r="L4" s="154" t="s">
        <v>106</v>
      </c>
      <c r="M4" s="154" t="s">
        <v>107</v>
      </c>
      <c r="N4" s="155"/>
      <c r="O4" s="155"/>
    </row>
    <row r="5" spans="1:15" s="155" customFormat="1" ht="15" customHeight="1" thickBot="1">
      <c r="B5" s="352" t="s">
        <v>66</v>
      </c>
      <c r="C5" s="216" t="s">
        <v>132</v>
      </c>
      <c r="D5" s="217"/>
      <c r="E5" s="218"/>
      <c r="F5" s="217"/>
      <c r="G5" s="38" t="s">
        <v>109</v>
      </c>
      <c r="H5" s="37" t="s">
        <v>109</v>
      </c>
      <c r="I5" s="38" t="s">
        <v>109</v>
      </c>
      <c r="J5" s="37" t="s">
        <v>109</v>
      </c>
      <c r="K5" s="38" t="s">
        <v>109</v>
      </c>
      <c r="L5" s="37" t="s">
        <v>109</v>
      </c>
      <c r="M5" s="39" t="s">
        <v>109</v>
      </c>
    </row>
    <row r="6" spans="1:15" s="155" customFormat="1" ht="15" customHeight="1" thickBot="1">
      <c r="B6" s="352"/>
      <c r="C6" s="216" t="s">
        <v>110</v>
      </c>
      <c r="D6" s="40"/>
      <c r="E6" s="219"/>
      <c r="F6" s="40"/>
      <c r="G6" s="41" t="s">
        <v>109</v>
      </c>
      <c r="H6" s="42" t="s">
        <v>109</v>
      </c>
      <c r="I6" s="41" t="s">
        <v>109</v>
      </c>
      <c r="J6" s="42" t="s">
        <v>109</v>
      </c>
      <c r="K6" s="41" t="s">
        <v>109</v>
      </c>
      <c r="L6" s="42" t="s">
        <v>109</v>
      </c>
      <c r="M6" s="43" t="s">
        <v>109</v>
      </c>
    </row>
    <row r="7" spans="1:15" s="155" customFormat="1" ht="15" customHeight="1" thickBot="1">
      <c r="B7" s="352"/>
      <c r="C7" s="216" t="s">
        <v>111</v>
      </c>
      <c r="D7" s="44"/>
      <c r="E7" s="69"/>
      <c r="F7" s="44"/>
      <c r="G7" s="69"/>
      <c r="H7" s="44"/>
      <c r="I7" s="69"/>
      <c r="J7" s="44"/>
      <c r="K7" s="69"/>
      <c r="L7" s="44"/>
      <c r="M7" s="70"/>
    </row>
    <row r="8" spans="1:15" ht="15" customHeight="1" thickBot="1">
      <c r="A8" s="155"/>
      <c r="B8" s="352" t="s">
        <v>46</v>
      </c>
      <c r="C8" s="216" t="s">
        <v>132</v>
      </c>
      <c r="D8" s="37" t="s">
        <v>109</v>
      </c>
      <c r="E8" s="38" t="s">
        <v>109</v>
      </c>
      <c r="F8" s="37" t="s">
        <v>109</v>
      </c>
      <c r="G8" s="38" t="s">
        <v>109</v>
      </c>
      <c r="H8" s="37" t="s">
        <v>109</v>
      </c>
      <c r="I8" s="38" t="s">
        <v>109</v>
      </c>
      <c r="J8" s="37" t="s">
        <v>109</v>
      </c>
      <c r="K8" s="38" t="s">
        <v>109</v>
      </c>
      <c r="L8" s="37" t="s">
        <v>109</v>
      </c>
      <c r="M8" s="39" t="s">
        <v>109</v>
      </c>
      <c r="N8" s="155"/>
      <c r="O8" s="155"/>
    </row>
    <row r="9" spans="1:15" ht="15" customHeight="1" thickBot="1">
      <c r="A9" s="155"/>
      <c r="B9" s="352"/>
      <c r="C9" s="216" t="s">
        <v>110</v>
      </c>
      <c r="D9" s="48"/>
      <c r="E9" s="49"/>
      <c r="F9" s="48"/>
      <c r="G9" s="49"/>
      <c r="H9" s="48"/>
      <c r="I9" s="49"/>
      <c r="J9" s="48"/>
      <c r="K9" s="49"/>
      <c r="L9" s="48"/>
      <c r="M9" s="50"/>
      <c r="N9" s="155"/>
      <c r="O9" s="155"/>
    </row>
    <row r="10" spans="1:15" ht="15" customHeight="1" thickBot="1">
      <c r="A10" s="155"/>
      <c r="B10" s="352"/>
      <c r="C10" s="216" t="s">
        <v>111</v>
      </c>
      <c r="D10" s="51"/>
      <c r="E10" s="52"/>
      <c r="F10" s="51"/>
      <c r="G10" s="52"/>
      <c r="H10" s="51"/>
      <c r="I10" s="52"/>
      <c r="J10" s="51"/>
      <c r="K10" s="52"/>
      <c r="L10" s="51"/>
      <c r="M10" s="53"/>
      <c r="N10" s="155"/>
      <c r="O10" s="155"/>
    </row>
    <row r="11" spans="1:15" s="155" customFormat="1" ht="15" customHeight="1" thickBot="1">
      <c r="B11" s="352" t="s">
        <v>44</v>
      </c>
      <c r="C11" s="216" t="s">
        <v>132</v>
      </c>
      <c r="D11" s="54" t="s">
        <v>109</v>
      </c>
      <c r="E11" s="55" t="s">
        <v>109</v>
      </c>
      <c r="F11" s="54" t="s">
        <v>109</v>
      </c>
      <c r="G11" s="55" t="s">
        <v>109</v>
      </c>
      <c r="H11" s="54" t="s">
        <v>109</v>
      </c>
      <c r="I11" s="55" t="s">
        <v>109</v>
      </c>
      <c r="J11" s="54" t="s">
        <v>109</v>
      </c>
      <c r="K11" s="55" t="s">
        <v>109</v>
      </c>
      <c r="L11" s="54" t="s">
        <v>109</v>
      </c>
      <c r="M11" s="56" t="s">
        <v>109</v>
      </c>
    </row>
    <row r="12" spans="1:15" s="155" customFormat="1" ht="15" customHeight="1" thickBot="1">
      <c r="B12" s="352"/>
      <c r="C12" s="216" t="s">
        <v>110</v>
      </c>
      <c r="D12" s="42" t="s">
        <v>109</v>
      </c>
      <c r="E12" s="41" t="s">
        <v>109</v>
      </c>
      <c r="F12" s="42" t="s">
        <v>109</v>
      </c>
      <c r="G12" s="41" t="s">
        <v>109</v>
      </c>
      <c r="H12" s="42" t="s">
        <v>109</v>
      </c>
      <c r="I12" s="41" t="s">
        <v>109</v>
      </c>
      <c r="J12" s="42" t="s">
        <v>109</v>
      </c>
      <c r="K12" s="41" t="s">
        <v>109</v>
      </c>
      <c r="L12" s="42" t="s">
        <v>109</v>
      </c>
      <c r="M12" s="43" t="s">
        <v>109</v>
      </c>
    </row>
    <row r="13" spans="1:15" s="155" customFormat="1" ht="15" customHeight="1" thickBot="1">
      <c r="B13" s="352"/>
      <c r="C13" s="216" t="s">
        <v>111</v>
      </c>
      <c r="D13" s="57"/>
      <c r="E13" s="220"/>
      <c r="F13" s="57"/>
      <c r="G13" s="220"/>
      <c r="H13" s="57"/>
      <c r="I13" s="220"/>
      <c r="J13" s="54" t="s">
        <v>109</v>
      </c>
      <c r="K13" s="55" t="s">
        <v>109</v>
      </c>
      <c r="L13" s="54" t="s">
        <v>109</v>
      </c>
      <c r="M13" s="56" t="s">
        <v>109</v>
      </c>
    </row>
    <row r="14" spans="1:15" ht="15" customHeight="1" thickBot="1">
      <c r="B14" s="357" t="s">
        <v>112</v>
      </c>
      <c r="C14" s="216" t="s">
        <v>132</v>
      </c>
      <c r="D14" s="58" t="s">
        <v>109</v>
      </c>
      <c r="E14" s="59" t="s">
        <v>109</v>
      </c>
      <c r="F14" s="58" t="s">
        <v>109</v>
      </c>
      <c r="G14" s="59" t="s">
        <v>109</v>
      </c>
      <c r="H14" s="58" t="s">
        <v>109</v>
      </c>
      <c r="I14" s="59" t="s">
        <v>109</v>
      </c>
      <c r="J14" s="58" t="s">
        <v>109</v>
      </c>
      <c r="K14" s="59" t="s">
        <v>109</v>
      </c>
      <c r="L14" s="58" t="s">
        <v>109</v>
      </c>
      <c r="M14" s="60" t="s">
        <v>109</v>
      </c>
    </row>
    <row r="15" spans="1:15" ht="15" customHeight="1" thickBot="1">
      <c r="B15" s="358"/>
      <c r="C15" s="216" t="s">
        <v>110</v>
      </c>
      <c r="D15" s="42" t="s">
        <v>109</v>
      </c>
      <c r="E15" s="41" t="s">
        <v>109</v>
      </c>
      <c r="F15" s="42" t="s">
        <v>109</v>
      </c>
      <c r="G15" s="41" t="s">
        <v>109</v>
      </c>
      <c r="H15" s="42" t="s">
        <v>109</v>
      </c>
      <c r="I15" s="41" t="s">
        <v>109</v>
      </c>
      <c r="J15" s="42" t="s">
        <v>109</v>
      </c>
      <c r="K15" s="41" t="s">
        <v>109</v>
      </c>
      <c r="L15" s="42" t="s">
        <v>109</v>
      </c>
      <c r="M15" s="43" t="s">
        <v>109</v>
      </c>
    </row>
    <row r="16" spans="1:15" ht="15" customHeight="1" thickBot="1">
      <c r="B16" s="359"/>
      <c r="C16" s="216" t="s">
        <v>111</v>
      </c>
      <c r="D16" s="44"/>
      <c r="E16" s="69"/>
      <c r="F16" s="44"/>
      <c r="G16" s="69"/>
      <c r="H16" s="44"/>
      <c r="I16" s="69"/>
      <c r="J16" s="46" t="s">
        <v>109</v>
      </c>
      <c r="K16" s="45" t="s">
        <v>109</v>
      </c>
      <c r="L16" s="46" t="s">
        <v>109</v>
      </c>
      <c r="M16" s="47" t="s">
        <v>109</v>
      </c>
    </row>
    <row r="17" spans="1:13" ht="15" customHeight="1" thickBot="1">
      <c r="B17" s="352" t="s">
        <v>62</v>
      </c>
      <c r="C17" s="216" t="s">
        <v>132</v>
      </c>
      <c r="D17" s="37" t="s">
        <v>109</v>
      </c>
      <c r="E17" s="38" t="s">
        <v>109</v>
      </c>
      <c r="F17" s="37" t="s">
        <v>109</v>
      </c>
      <c r="G17" s="38" t="s">
        <v>109</v>
      </c>
      <c r="H17" s="37" t="s">
        <v>109</v>
      </c>
      <c r="I17" s="38" t="s">
        <v>109</v>
      </c>
      <c r="J17" s="37" t="s">
        <v>109</v>
      </c>
      <c r="K17" s="38" t="s">
        <v>109</v>
      </c>
      <c r="L17" s="37" t="s">
        <v>109</v>
      </c>
      <c r="M17" s="39" t="s">
        <v>109</v>
      </c>
    </row>
    <row r="18" spans="1:13" ht="15" customHeight="1" thickBot="1">
      <c r="B18" s="352"/>
      <c r="C18" s="216" t="s">
        <v>110</v>
      </c>
      <c r="D18" s="42" t="s">
        <v>109</v>
      </c>
      <c r="E18" s="41" t="s">
        <v>109</v>
      </c>
      <c r="F18" s="42" t="s">
        <v>109</v>
      </c>
      <c r="G18" s="41" t="s">
        <v>109</v>
      </c>
      <c r="H18" s="42" t="s">
        <v>109</v>
      </c>
      <c r="I18" s="41" t="s">
        <v>109</v>
      </c>
      <c r="J18" s="42" t="s">
        <v>109</v>
      </c>
      <c r="K18" s="41" t="s">
        <v>109</v>
      </c>
      <c r="L18" s="42" t="s">
        <v>109</v>
      </c>
      <c r="M18" s="43" t="s">
        <v>109</v>
      </c>
    </row>
    <row r="19" spans="1:13" ht="15" customHeight="1" thickBot="1">
      <c r="B19" s="352"/>
      <c r="C19" s="216" t="s">
        <v>111</v>
      </c>
      <c r="D19" s="44"/>
      <c r="E19" s="69"/>
      <c r="F19" s="44"/>
      <c r="G19" s="69"/>
      <c r="H19" s="44"/>
      <c r="I19" s="69"/>
      <c r="J19" s="44"/>
      <c r="K19" s="69"/>
      <c r="L19" s="44"/>
      <c r="M19" s="70"/>
    </row>
    <row r="20" spans="1:13" ht="15" customHeight="1" thickBot="1">
      <c r="B20" s="360" t="s">
        <v>63</v>
      </c>
      <c r="C20" s="216" t="s">
        <v>132</v>
      </c>
      <c r="D20" s="221"/>
      <c r="E20" s="222"/>
      <c r="F20" s="61" t="s">
        <v>109</v>
      </c>
      <c r="G20" s="62" t="s">
        <v>109</v>
      </c>
      <c r="H20" s="63" t="s">
        <v>109</v>
      </c>
      <c r="I20" s="62" t="s">
        <v>109</v>
      </c>
      <c r="J20" s="63" t="s">
        <v>109</v>
      </c>
      <c r="K20" s="62" t="s">
        <v>109</v>
      </c>
      <c r="L20" s="63" t="s">
        <v>109</v>
      </c>
      <c r="M20" s="64" t="s">
        <v>109</v>
      </c>
    </row>
    <row r="21" spans="1:13" ht="15" customHeight="1" thickBot="1">
      <c r="B21" s="361"/>
      <c r="C21" s="216" t="s">
        <v>110</v>
      </c>
      <c r="D21" s="40"/>
      <c r="E21" s="219"/>
      <c r="F21" s="65" t="s">
        <v>109</v>
      </c>
      <c r="G21" s="66" t="s">
        <v>109</v>
      </c>
      <c r="H21" s="67" t="s">
        <v>109</v>
      </c>
      <c r="I21" s="66" t="s">
        <v>109</v>
      </c>
      <c r="J21" s="67" t="s">
        <v>109</v>
      </c>
      <c r="K21" s="66" t="s">
        <v>109</v>
      </c>
      <c r="L21" s="67" t="s">
        <v>109</v>
      </c>
      <c r="M21" s="68" t="s">
        <v>109</v>
      </c>
    </row>
    <row r="22" spans="1:13" ht="15" customHeight="1" thickBot="1">
      <c r="B22" s="362"/>
      <c r="C22" s="216" t="s">
        <v>111</v>
      </c>
      <c r="D22" s="44"/>
      <c r="E22" s="69"/>
      <c r="F22" s="44"/>
      <c r="G22" s="69"/>
      <c r="H22" s="44"/>
      <c r="I22" s="69"/>
      <c r="J22" s="44"/>
      <c r="K22" s="69"/>
      <c r="L22" s="44"/>
      <c r="M22" s="70"/>
    </row>
    <row r="23" spans="1:13" ht="15" customHeight="1" thickBot="1">
      <c r="B23" s="360" t="s">
        <v>64</v>
      </c>
      <c r="C23" s="216" t="s">
        <v>132</v>
      </c>
      <c r="D23" s="221"/>
      <c r="E23" s="222"/>
      <c r="F23" s="37" t="s">
        <v>109</v>
      </c>
      <c r="G23" s="38" t="s">
        <v>109</v>
      </c>
      <c r="H23" s="37" t="s">
        <v>109</v>
      </c>
      <c r="I23" s="38" t="s">
        <v>109</v>
      </c>
      <c r="J23" s="37" t="s">
        <v>109</v>
      </c>
      <c r="K23" s="38" t="s">
        <v>109</v>
      </c>
      <c r="L23" s="37" t="s">
        <v>109</v>
      </c>
      <c r="M23" s="39" t="s">
        <v>109</v>
      </c>
    </row>
    <row r="24" spans="1:13" ht="15" customHeight="1" thickBot="1">
      <c r="B24" s="361"/>
      <c r="C24" s="216" t="s">
        <v>110</v>
      </c>
      <c r="D24" s="40"/>
      <c r="E24" s="219"/>
      <c r="F24" s="42" t="s">
        <v>109</v>
      </c>
      <c r="G24" s="41" t="s">
        <v>109</v>
      </c>
      <c r="H24" s="42" t="s">
        <v>109</v>
      </c>
      <c r="I24" s="41" t="s">
        <v>109</v>
      </c>
      <c r="J24" s="42" t="s">
        <v>109</v>
      </c>
      <c r="K24" s="41" t="s">
        <v>109</v>
      </c>
      <c r="L24" s="42" t="s">
        <v>109</v>
      </c>
      <c r="M24" s="43" t="s">
        <v>109</v>
      </c>
    </row>
    <row r="25" spans="1:13" ht="15" customHeight="1" thickBot="1">
      <c r="B25" s="362"/>
      <c r="C25" s="216" t="s">
        <v>111</v>
      </c>
      <c r="D25" s="44"/>
      <c r="E25" s="69"/>
      <c r="F25" s="44"/>
      <c r="G25" s="69"/>
      <c r="H25" s="44"/>
      <c r="I25" s="69"/>
      <c r="J25" s="46" t="s">
        <v>109</v>
      </c>
      <c r="K25" s="45" t="s">
        <v>109</v>
      </c>
      <c r="L25" s="46" t="s">
        <v>109</v>
      </c>
      <c r="M25" s="47" t="s">
        <v>109</v>
      </c>
    </row>
    <row r="26" spans="1:13" ht="15" customHeight="1" thickBot="1">
      <c r="B26" s="352" t="s">
        <v>65</v>
      </c>
      <c r="C26" s="216" t="s">
        <v>132</v>
      </c>
      <c r="D26" s="221"/>
      <c r="E26" s="222"/>
      <c r="F26" s="37" t="s">
        <v>109</v>
      </c>
      <c r="G26" s="38" t="s">
        <v>109</v>
      </c>
      <c r="H26" s="37" t="s">
        <v>109</v>
      </c>
      <c r="I26" s="38" t="s">
        <v>109</v>
      </c>
      <c r="J26" s="37" t="s">
        <v>109</v>
      </c>
      <c r="K26" s="38" t="s">
        <v>109</v>
      </c>
      <c r="L26" s="37" t="s">
        <v>109</v>
      </c>
      <c r="M26" s="39" t="s">
        <v>109</v>
      </c>
    </row>
    <row r="27" spans="1:13" ht="15" customHeight="1" thickBot="1">
      <c r="A27" s="155"/>
      <c r="B27" s="352"/>
      <c r="C27" s="216" t="s">
        <v>110</v>
      </c>
      <c r="D27" s="40"/>
      <c r="E27" s="219"/>
      <c r="F27" s="37" t="s">
        <v>109</v>
      </c>
      <c r="G27" s="38" t="s">
        <v>109</v>
      </c>
      <c r="H27" s="37" t="s">
        <v>109</v>
      </c>
      <c r="I27" s="38" t="s">
        <v>109</v>
      </c>
      <c r="J27" s="37" t="s">
        <v>109</v>
      </c>
      <c r="K27" s="38" t="s">
        <v>109</v>
      </c>
      <c r="L27" s="37" t="s">
        <v>109</v>
      </c>
      <c r="M27" s="39" t="s">
        <v>109</v>
      </c>
    </row>
    <row r="28" spans="1:13" ht="15" customHeight="1" thickBot="1">
      <c r="A28" s="155"/>
      <c r="B28" s="352"/>
      <c r="C28" s="216" t="s">
        <v>111</v>
      </c>
      <c r="D28" s="44"/>
      <c r="E28" s="69"/>
      <c r="F28" s="44"/>
      <c r="G28" s="69"/>
      <c r="H28" s="44"/>
      <c r="I28" s="69"/>
      <c r="J28" s="46" t="s">
        <v>109</v>
      </c>
      <c r="K28" s="45" t="s">
        <v>109</v>
      </c>
      <c r="L28" s="46" t="s">
        <v>109</v>
      </c>
      <c r="M28" s="47" t="s">
        <v>109</v>
      </c>
    </row>
    <row r="29" spans="1:13" ht="15" customHeight="1" thickBot="1">
      <c r="A29" s="155"/>
      <c r="B29" s="352" t="s">
        <v>113</v>
      </c>
      <c r="C29" s="216" t="s">
        <v>132</v>
      </c>
      <c r="D29" s="37" t="s">
        <v>109</v>
      </c>
      <c r="E29" s="38" t="s">
        <v>109</v>
      </c>
      <c r="F29" s="37" t="s">
        <v>109</v>
      </c>
      <c r="G29" s="38" t="s">
        <v>109</v>
      </c>
      <c r="H29" s="37" t="s">
        <v>109</v>
      </c>
      <c r="I29" s="38" t="s">
        <v>109</v>
      </c>
      <c r="J29" s="37" t="s">
        <v>109</v>
      </c>
      <c r="K29" s="38" t="s">
        <v>109</v>
      </c>
      <c r="L29" s="37" t="s">
        <v>109</v>
      </c>
      <c r="M29" s="39" t="s">
        <v>109</v>
      </c>
    </row>
    <row r="30" spans="1:13" ht="15" customHeight="1" thickBot="1">
      <c r="A30" s="155"/>
      <c r="B30" s="352"/>
      <c r="C30" s="216" t="s">
        <v>110</v>
      </c>
      <c r="D30" s="48"/>
      <c r="E30" s="49"/>
      <c r="F30" s="48"/>
      <c r="G30" s="49"/>
      <c r="H30" s="48"/>
      <c r="I30" s="49"/>
      <c r="J30" s="42" t="s">
        <v>109</v>
      </c>
      <c r="K30" s="41" t="s">
        <v>109</v>
      </c>
      <c r="L30" s="42" t="s">
        <v>109</v>
      </c>
      <c r="M30" s="43" t="s">
        <v>109</v>
      </c>
    </row>
    <row r="31" spans="1:13" ht="15" customHeight="1" thickBot="1">
      <c r="A31" s="155"/>
      <c r="B31" s="352"/>
      <c r="C31" s="216" t="s">
        <v>111</v>
      </c>
      <c r="D31" s="51"/>
      <c r="E31" s="52"/>
      <c r="F31" s="51"/>
      <c r="G31" s="52"/>
      <c r="H31" s="51"/>
      <c r="I31" s="52"/>
      <c r="J31" s="46" t="s">
        <v>109</v>
      </c>
      <c r="K31" s="45" t="s">
        <v>109</v>
      </c>
      <c r="L31" s="46" t="s">
        <v>109</v>
      </c>
      <c r="M31" s="47" t="s">
        <v>109</v>
      </c>
    </row>
    <row r="32" spans="1:13" s="155" customFormat="1" ht="15" customHeight="1" thickBot="1">
      <c r="B32" s="352" t="s">
        <v>114</v>
      </c>
      <c r="C32" s="216" t="s">
        <v>132</v>
      </c>
      <c r="D32" s="37" t="s">
        <v>109</v>
      </c>
      <c r="E32" s="38" t="s">
        <v>109</v>
      </c>
      <c r="F32" s="37" t="s">
        <v>109</v>
      </c>
      <c r="G32" s="38" t="s">
        <v>109</v>
      </c>
      <c r="H32" s="37" t="s">
        <v>109</v>
      </c>
      <c r="I32" s="38" t="s">
        <v>109</v>
      </c>
      <c r="J32" s="37" t="s">
        <v>109</v>
      </c>
      <c r="K32" s="38" t="s">
        <v>109</v>
      </c>
      <c r="L32" s="37" t="s">
        <v>109</v>
      </c>
      <c r="M32" s="39" t="s">
        <v>109</v>
      </c>
    </row>
    <row r="33" spans="1:13" s="155" customFormat="1" ht="15" customHeight="1" thickBot="1">
      <c r="B33" s="352"/>
      <c r="C33" s="216" t="s">
        <v>110</v>
      </c>
      <c r="D33" s="48"/>
      <c r="E33" s="49"/>
      <c r="F33" s="48"/>
      <c r="G33" s="49"/>
      <c r="H33" s="48"/>
      <c r="I33" s="49"/>
      <c r="J33" s="42" t="s">
        <v>109</v>
      </c>
      <c r="K33" s="41" t="s">
        <v>109</v>
      </c>
      <c r="L33" s="42" t="s">
        <v>109</v>
      </c>
      <c r="M33" s="43" t="s">
        <v>109</v>
      </c>
    </row>
    <row r="34" spans="1:13" s="155" customFormat="1" ht="15" customHeight="1" thickBot="1">
      <c r="B34" s="352"/>
      <c r="C34" s="216" t="s">
        <v>111</v>
      </c>
      <c r="D34" s="44"/>
      <c r="E34" s="69"/>
      <c r="F34" s="44"/>
      <c r="G34" s="69"/>
      <c r="H34" s="44"/>
      <c r="I34" s="69"/>
      <c r="J34" s="46" t="s">
        <v>109</v>
      </c>
      <c r="K34" s="45" t="s">
        <v>109</v>
      </c>
      <c r="L34" s="46" t="s">
        <v>109</v>
      </c>
      <c r="M34" s="47" t="s">
        <v>109</v>
      </c>
    </row>
    <row r="35" spans="1:13" ht="15.75" customHeight="1">
      <c r="A35" s="155"/>
      <c r="B35" s="223"/>
      <c r="C35" s="224"/>
      <c r="D35" s="363" t="s">
        <v>133</v>
      </c>
      <c r="E35" s="364"/>
      <c r="F35" s="364"/>
      <c r="G35" s="364"/>
      <c r="H35" s="364"/>
      <c r="I35" s="364"/>
      <c r="J35" s="364"/>
      <c r="K35" s="364"/>
      <c r="L35" s="364"/>
      <c r="M35" s="365"/>
    </row>
    <row r="36" spans="1:13" ht="15.75" customHeight="1" thickBot="1">
      <c r="A36" s="155"/>
      <c r="B36" s="225"/>
      <c r="C36" s="226" t="s">
        <v>116</v>
      </c>
      <c r="D36" s="366" t="s">
        <v>117</v>
      </c>
      <c r="E36" s="367"/>
      <c r="F36" s="367"/>
      <c r="G36" s="367"/>
      <c r="H36" s="367"/>
      <c r="I36" s="367"/>
      <c r="J36" s="367"/>
      <c r="K36" s="367"/>
      <c r="L36" s="367"/>
      <c r="M36" s="368"/>
    </row>
    <row r="37" spans="1:13" ht="15.75" customHeight="1">
      <c r="A37" s="155"/>
      <c r="B37" s="155"/>
      <c r="C37" s="154"/>
      <c r="D37" s="155"/>
      <c r="E37" s="155"/>
      <c r="F37" s="155"/>
      <c r="G37" s="155"/>
      <c r="H37" s="155"/>
      <c r="I37" s="155"/>
      <c r="J37" s="155"/>
      <c r="K37" s="227"/>
      <c r="L37" s="209"/>
      <c r="M37" s="209"/>
    </row>
    <row r="38" spans="1:13" ht="15.75" customHeight="1">
      <c r="A38" s="155"/>
      <c r="B38" s="155"/>
      <c r="C38" s="154"/>
      <c r="D38" s="155"/>
      <c r="E38" s="155"/>
      <c r="F38" s="155"/>
      <c r="G38" s="155"/>
      <c r="H38" s="155"/>
      <c r="I38" s="155"/>
      <c r="J38" s="155"/>
      <c r="K38" s="155"/>
      <c r="L38" s="155"/>
      <c r="M38" s="155"/>
    </row>
    <row r="39" spans="1:13" ht="15.75" customHeight="1">
      <c r="A39" s="155"/>
      <c r="B39" s="155"/>
      <c r="C39" s="154"/>
      <c r="D39" s="155"/>
      <c r="E39" s="155"/>
      <c r="F39" s="155"/>
      <c r="G39" s="155"/>
      <c r="H39" s="155"/>
      <c r="I39" s="155"/>
      <c r="J39" s="155"/>
      <c r="K39" s="212"/>
      <c r="L39" s="155"/>
      <c r="M39" s="155"/>
    </row>
    <row r="40" spans="1:13" ht="15.75" customHeight="1">
      <c r="A40" s="155"/>
      <c r="B40" s="155"/>
      <c r="C40" s="154"/>
      <c r="D40" s="155"/>
      <c r="E40" s="155"/>
      <c r="F40" s="155"/>
      <c r="G40" s="155"/>
      <c r="H40" s="155"/>
      <c r="I40" s="155"/>
      <c r="J40" s="155"/>
      <c r="K40" s="155"/>
      <c r="L40" s="155"/>
      <c r="M40" s="155"/>
    </row>
    <row r="41" spans="1:13" ht="18" hidden="1" customHeight="1">
      <c r="A41" s="155"/>
      <c r="B41" s="155"/>
      <c r="C41" s="154"/>
      <c r="D41" s="155"/>
      <c r="E41" s="155"/>
      <c r="F41" s="155"/>
      <c r="G41" s="155"/>
      <c r="H41" s="155"/>
      <c r="I41" s="155"/>
      <c r="J41" s="155"/>
      <c r="K41" s="155"/>
      <c r="L41" s="155"/>
      <c r="M41" s="155"/>
    </row>
    <row r="42" spans="1:13" s="155" customFormat="1" ht="18" hidden="1" customHeight="1">
      <c r="C42" s="154"/>
    </row>
    <row r="43" spans="1:13" s="155" customFormat="1" ht="18" hidden="1" customHeight="1">
      <c r="B43" s="213">
        <v>43174</v>
      </c>
      <c r="C43" s="154"/>
    </row>
    <row r="44" spans="1:13" ht="18" hidden="1" customHeight="1">
      <c r="A44" s="155"/>
      <c r="B44" s="213">
        <v>43047</v>
      </c>
      <c r="C44" s="154"/>
      <c r="D44" s="155"/>
      <c r="E44" s="155"/>
      <c r="F44" s="155"/>
      <c r="G44" s="155"/>
      <c r="H44" s="155"/>
      <c r="I44" s="155"/>
      <c r="J44" s="155"/>
      <c r="K44" s="155"/>
      <c r="L44" s="155"/>
      <c r="M44" s="155"/>
    </row>
    <row r="45" spans="1:13" s="155" customFormat="1" ht="18" hidden="1" customHeight="1">
      <c r="B45" s="213">
        <v>42480</v>
      </c>
      <c r="C45" s="154"/>
    </row>
    <row r="46" spans="1:13" ht="18" hidden="1" customHeight="1">
      <c r="A46" s="155"/>
      <c r="B46" s="213">
        <v>42480</v>
      </c>
      <c r="C46" s="154"/>
      <c r="D46" s="155"/>
      <c r="E46" s="155"/>
      <c r="F46" s="155"/>
      <c r="G46" s="155"/>
      <c r="H46" s="155"/>
      <c r="I46" s="155"/>
      <c r="J46" s="155"/>
      <c r="K46" s="155"/>
      <c r="L46" s="155"/>
      <c r="M46" s="155"/>
    </row>
    <row r="47" spans="1:13" ht="18" hidden="1" customHeight="1">
      <c r="A47" s="155"/>
      <c r="B47" s="213">
        <v>42376</v>
      </c>
      <c r="C47" s="154"/>
      <c r="D47" s="155"/>
      <c r="E47" s="155"/>
      <c r="F47" s="155"/>
      <c r="G47" s="155"/>
      <c r="H47" s="155"/>
      <c r="I47" s="155"/>
      <c r="J47" s="155"/>
      <c r="K47" s="155"/>
      <c r="L47" s="155"/>
      <c r="M47" s="155"/>
    </row>
    <row r="48" spans="1:13" ht="25.5" hidden="1" customHeight="1">
      <c r="A48" s="155"/>
      <c r="B48" s="348">
        <v>41593</v>
      </c>
      <c r="C48" s="349"/>
      <c r="D48" s="351"/>
      <c r="E48" s="351"/>
      <c r="F48" s="351"/>
      <c r="G48" s="351"/>
      <c r="H48" s="351"/>
      <c r="I48" s="351"/>
      <c r="J48" s="351"/>
      <c r="K48" s="351"/>
      <c r="L48" s="351"/>
      <c r="M48" s="351"/>
    </row>
    <row r="49" spans="1:13" ht="18" hidden="1" customHeight="1">
      <c r="A49" s="155"/>
      <c r="B49" s="348">
        <v>41240</v>
      </c>
      <c r="C49" s="349"/>
      <c r="D49" s="351"/>
      <c r="E49" s="351"/>
      <c r="F49" s="351"/>
      <c r="G49" s="351"/>
      <c r="H49" s="351"/>
      <c r="I49" s="351"/>
      <c r="J49" s="351"/>
      <c r="K49" s="351"/>
      <c r="L49" s="351"/>
      <c r="M49" s="351"/>
    </row>
    <row r="50" spans="1:13" ht="28.5" hidden="1" customHeight="1">
      <c r="A50" s="155"/>
      <c r="B50" s="348">
        <v>41240</v>
      </c>
      <c r="C50" s="349"/>
      <c r="D50" s="351"/>
      <c r="E50" s="351"/>
      <c r="F50" s="351"/>
      <c r="G50" s="351"/>
      <c r="H50" s="351"/>
      <c r="I50" s="351"/>
      <c r="J50" s="351"/>
      <c r="K50" s="351"/>
      <c r="L50" s="351"/>
      <c r="M50" s="351"/>
    </row>
    <row r="51" spans="1:13" ht="18" hidden="1" customHeight="1">
      <c r="A51" s="155"/>
      <c r="B51" s="348">
        <v>41240</v>
      </c>
      <c r="C51" s="349"/>
      <c r="D51" s="351"/>
      <c r="E51" s="351"/>
      <c r="F51" s="351"/>
      <c r="G51" s="351"/>
      <c r="H51" s="351"/>
      <c r="I51" s="351"/>
      <c r="J51" s="351"/>
      <c r="K51" s="351"/>
      <c r="L51" s="351"/>
      <c r="M51" s="351"/>
    </row>
    <row r="52" spans="1:13" ht="18" hidden="1" customHeight="1">
      <c r="A52" s="155"/>
      <c r="B52" s="348">
        <v>41240</v>
      </c>
      <c r="C52" s="349"/>
      <c r="D52" s="351"/>
      <c r="E52" s="351"/>
      <c r="F52" s="351"/>
      <c r="G52" s="351"/>
      <c r="H52" s="351"/>
      <c r="I52" s="351"/>
      <c r="J52" s="351"/>
      <c r="K52" s="351"/>
      <c r="L52" s="351"/>
      <c r="M52" s="351"/>
    </row>
    <row r="53" spans="1:13" ht="18" hidden="1" customHeight="1">
      <c r="A53" s="155"/>
      <c r="B53" s="348">
        <v>41240</v>
      </c>
      <c r="C53" s="349"/>
      <c r="D53" s="351"/>
      <c r="E53" s="351"/>
      <c r="F53" s="351"/>
      <c r="G53" s="351"/>
      <c r="H53" s="351"/>
      <c r="I53" s="351"/>
      <c r="J53" s="351"/>
      <c r="K53" s="351"/>
      <c r="L53" s="351"/>
      <c r="M53" s="351"/>
    </row>
    <row r="54" spans="1:13" ht="18" hidden="1" customHeight="1">
      <c r="A54" s="155"/>
      <c r="B54" s="348">
        <v>41240</v>
      </c>
      <c r="C54" s="349"/>
      <c r="D54" s="350"/>
      <c r="E54" s="350"/>
      <c r="F54" s="350"/>
      <c r="G54" s="350"/>
      <c r="H54" s="350"/>
      <c r="I54" s="350"/>
      <c r="J54" s="350"/>
      <c r="K54" s="350"/>
      <c r="L54" s="350"/>
      <c r="M54" s="350"/>
    </row>
    <row r="55" spans="1:13" ht="18" hidden="1" customHeight="1">
      <c r="A55" s="155"/>
      <c r="B55" s="348">
        <v>41240</v>
      </c>
      <c r="C55" s="349"/>
      <c r="D55" s="350"/>
      <c r="E55" s="350"/>
      <c r="F55" s="350"/>
      <c r="G55" s="350"/>
      <c r="H55" s="350"/>
      <c r="I55" s="350"/>
      <c r="J55" s="350"/>
      <c r="K55" s="350"/>
      <c r="L55" s="350"/>
      <c r="M55" s="350"/>
    </row>
    <row r="56" spans="1:13" hidden="1"/>
    <row r="57" spans="1:13" hidden="1"/>
    <row r="58" spans="1:13" hidden="1"/>
    <row r="59" spans="1:13" hidden="1"/>
  </sheetData>
  <mergeCells count="30">
    <mergeCell ref="B53:C53"/>
    <mergeCell ref="D53:M53"/>
    <mergeCell ref="B54:C54"/>
    <mergeCell ref="D54:M54"/>
    <mergeCell ref="B55:C55"/>
    <mergeCell ref="D55:M55"/>
    <mergeCell ref="B50:C50"/>
    <mergeCell ref="D50:M50"/>
    <mergeCell ref="B51:C51"/>
    <mergeCell ref="D51:M51"/>
    <mergeCell ref="B52:C52"/>
    <mergeCell ref="D52:M52"/>
    <mergeCell ref="D35:M35"/>
    <mergeCell ref="D36:M36"/>
    <mergeCell ref="B48:C48"/>
    <mergeCell ref="D48:M48"/>
    <mergeCell ref="B49:C49"/>
    <mergeCell ref="D49:M49"/>
    <mergeCell ref="B32:B34"/>
    <mergeCell ref="D2:N2"/>
    <mergeCell ref="A3:O3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</mergeCells>
  <printOptions horizontalCentered="1"/>
  <pageMargins left="0.23622047244094499" right="0.23622047244094499" top="0.55118110236220497" bottom="0" header="0.31496062992126" footer="0.118110236220472"/>
  <pageSetup orientation="portrait" r:id="rId1"/>
  <headerFooter>
    <oddFooter>&amp;L&amp;P&amp;RMay 4, 2025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803ABE0D8D49B5E3085A09CA80AD" ma:contentTypeVersion="0" ma:contentTypeDescription="Create a new document." ma:contentTypeScope="" ma:versionID="5c5bff420b595a568bcd936699c8060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F1201D-EF36-4C71-A77F-A4303CF4B0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31132D-1D8B-4228-84E2-B81539F089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BD7D9A8-3B16-4385-98F2-926CBA0A9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28</vt:i4>
      </vt:variant>
    </vt:vector>
  </HeadingPairs>
  <TitlesOfParts>
    <vt:vector size="45" baseType="lpstr">
      <vt:lpstr>Cover</vt:lpstr>
      <vt:lpstr>Colonist-6 Panel</vt:lpstr>
      <vt:lpstr>Moulded Panel</vt:lpstr>
      <vt:lpstr>Moulded Panel (2)</vt:lpstr>
      <vt:lpstr>Moulded Panel (3)</vt:lpstr>
      <vt:lpstr>Conmore</vt:lpstr>
      <vt:lpstr>Conmore (2)</vt:lpstr>
      <vt:lpstr>Conmore (3)</vt:lpstr>
      <vt:lpstr>Flat Panel (Elite)</vt:lpstr>
      <vt:lpstr>Flat Panel Elite (2)</vt:lpstr>
      <vt:lpstr>Flat Panel Elite (3)</vt:lpstr>
      <vt:lpstr>Primed Hardboard</vt:lpstr>
      <vt:lpstr>Primed Hardboard (2)</vt:lpstr>
      <vt:lpstr>Primed Hardboard (3)</vt:lpstr>
      <vt:lpstr>Adders</vt:lpstr>
      <vt:lpstr>Doors Availability</vt:lpstr>
      <vt:lpstr>Bifold Availability</vt:lpstr>
      <vt:lpstr>Adders!Print_Area</vt:lpstr>
      <vt:lpstr>'Colonist-6 Panel'!Print_Area</vt:lpstr>
      <vt:lpstr>Conmore!Print_Area</vt:lpstr>
      <vt:lpstr>'Conmore (2)'!Print_Area</vt:lpstr>
      <vt:lpstr>'Conmore (3)'!Print_Area</vt:lpstr>
      <vt:lpstr>Cover!Print_Area</vt:lpstr>
      <vt:lpstr>'Flat Panel (Elite)'!Print_Area</vt:lpstr>
      <vt:lpstr>'Flat Panel Elite (2)'!Print_Area</vt:lpstr>
      <vt:lpstr>'Flat Panel Elite (3)'!Print_Area</vt:lpstr>
      <vt:lpstr>'Moulded Panel'!Print_Area</vt:lpstr>
      <vt:lpstr>'Moulded Panel (2)'!Print_Area</vt:lpstr>
      <vt:lpstr>'Moulded Panel (3)'!Print_Area</vt:lpstr>
      <vt:lpstr>'Primed Hardboard'!Print_Area</vt:lpstr>
      <vt:lpstr>'Primed Hardboard (2)'!Print_Area</vt:lpstr>
      <vt:lpstr>'Primed Hardboard (3)'!Print_Area</vt:lpstr>
      <vt:lpstr>'Colonist-6 Panel'!Print_Titles_MI</vt:lpstr>
      <vt:lpstr>Conmore!Print_Titles_MI</vt:lpstr>
      <vt:lpstr>'Conmore (2)'!Print_Titles_MI</vt:lpstr>
      <vt:lpstr>'Conmore (3)'!Print_Titles_MI</vt:lpstr>
      <vt:lpstr>'Flat Panel (Elite)'!Print_Titles_MI</vt:lpstr>
      <vt:lpstr>'Flat Panel Elite (2)'!Print_Titles_MI</vt:lpstr>
      <vt:lpstr>'Flat Panel Elite (3)'!Print_Titles_MI</vt:lpstr>
      <vt:lpstr>'Moulded Panel'!Print_Titles_MI</vt:lpstr>
      <vt:lpstr>'Moulded Panel (2)'!Print_Titles_MI</vt:lpstr>
      <vt:lpstr>'Moulded Panel (3)'!Print_Titles_MI</vt:lpstr>
      <vt:lpstr>'Primed Hardboard'!Print_Titles_MI</vt:lpstr>
      <vt:lpstr>'Primed Hardboard (2)'!Print_Titles_MI</vt:lpstr>
      <vt:lpstr>'Primed Hardboard (3)'!Print_Titles_MI</vt:lpstr>
    </vt:vector>
  </TitlesOfParts>
  <Manager/>
  <Company>JELD-WEN,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Gilles Bouchard</dc:creator>
  <cp:keywords/>
  <dc:description/>
  <cp:lastModifiedBy>Russ Miller</cp:lastModifiedBy>
  <cp:revision/>
  <cp:lastPrinted>2025-04-28T13:36:53Z</cp:lastPrinted>
  <dcterms:created xsi:type="dcterms:W3CDTF">2012-04-11T17:17:47Z</dcterms:created>
  <dcterms:modified xsi:type="dcterms:W3CDTF">2025-05-08T20:01:02Z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0x010100EAB1803ABE0D8D49B5E3085A09CA80AD</vt:lpwstr>
  </property>
</Properties>
</file>